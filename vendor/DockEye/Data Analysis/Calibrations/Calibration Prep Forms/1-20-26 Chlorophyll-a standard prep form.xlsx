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13_ncr:1_{07D7D93A-A72F-5D49-9DCD-ED066E243BFF}" xr6:coauthVersionLast="47" xr6:coauthVersionMax="47" xr10:uidLastSave="{00000000-0000-0000-0000-000000000000}"/>
  <bookViews>
    <workbookView xWindow="0" yWindow="480" windowWidth="68800" windowHeight="28320" activeTab="2" xr2:uid="{ECA17FA2-AC6E-E14D-88B2-02E1E94CCFEC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I6" i="1"/>
  <c r="I5" i="1"/>
  <c r="I4" i="1"/>
  <c r="H6" i="1"/>
  <c r="H5" i="1"/>
  <c r="H4" i="1"/>
  <c r="G6" i="1"/>
  <c r="G5" i="1"/>
  <c r="O5" i="1" s="1"/>
  <c r="G4" i="1"/>
  <c r="O4" i="1" s="1"/>
  <c r="B34" i="1"/>
  <c r="G33" i="1" s="1"/>
  <c r="F33" i="1"/>
  <c r="E33" i="1" s="1"/>
  <c r="B35" i="1"/>
  <c r="E35" i="1" s="1"/>
  <c r="B36" i="1"/>
  <c r="G35" i="1" s="1"/>
  <c r="G36" i="1"/>
  <c r="B33" i="1"/>
  <c r="E36" i="1" l="1"/>
  <c r="G34" i="1"/>
  <c r="E34" i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<sst xmlns="http://schemas.openxmlformats.org/spreadsheetml/2006/main" count="96" uniqueCount="59">
  <si>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</si>
  <si>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</si>
  <si>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</si>
  <si>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</si>
  <si>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</si>
  <si>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</si>
  <si>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</si>
  <si>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</si>
  <si>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</si>
  <si>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</si>
  <si>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</si>
  <si>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</si>
  <si>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</si>
  <si>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</si>
  <si>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</si>
  <si>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</si>
  <si>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</si>
  <si>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</si>
  <si>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</si>
  <si>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</si>
  <si>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</si>
  <si>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</si>
  <si>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</si>
  <si>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</si>
  <si>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</si>
  <si>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</si>
  <si>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</si>
  <si>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</si>
  <si>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</si>
  <si>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</si>
  <si>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1 cm cell in 90% acetone</t>
  </si>
  <si>
    <t>Baseline corrected</t>
  </si>
  <si>
    <t>DockEye</t>
  </si>
  <si>
    <t>Horiba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</si>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</sst>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8-14-25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14</c:v>
                </c:pt>
                <c:pt idx="1">
                  <c:v>70.48</c:v>
                </c:pt>
                <c:pt idx="2">
                  <c:v>129.05000000000001</c:v>
                </c:pt>
                <c:pt idx="3">
                  <c:v>245.86</c:v>
                </c:pt>
                <c:pt idx="4">
                  <c:v>594</c:v>
                </c:pt>
                <c:pt idx="5">
                  <c:v>1160.43</c:v>
                </c:pt>
              </c:numCache>
            </c:numRef>
          </c:xVal>
          <c:y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E-FB44-B614-42786572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Horiba Calibration 8-14-25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39357178334472E-2"/>
                  <c:y val="-0.180254846526953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Sheet1!$C$10:$C$15</c:f>
              <c:numCache>
                <c:formatCode>General</c:formatCode>
                <c:ptCount val="6"/>
                <c:pt idx="0">
                  <c:v>469.375</c:v>
                </c:pt>
                <c:pt idx="1">
                  <c:v>7253.3333300000004</c:v>
                </c:pt>
                <c:pt idx="2">
                  <c:v>13931</c:v>
                </c:pt>
                <c:pt idx="3">
                  <c:v>27261.333330000001</c:v>
                </c:pt>
                <c:pt idx="4">
                  <c:v>66995.666670000006</c:v>
                </c:pt>
                <c:pt idx="5">
                  <c:v>131929</c:v>
                </c:pt>
              </c:numCache>
            </c:numRef>
          </c:xVal>
          <c:y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0-6B4A-9E88-8CA33591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708575"/>
        <c:axId val="760428895"/>
      </c:scatterChart>
      <c:valAx>
        <c:axId val="130970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28895"/>
        <c:crosses val="autoZero"/>
        <c:crossBetween val="midCat"/>
      </c:valAx>
      <c:valAx>
        <c:axId val="7604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10-4-25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Sheet1!$A$18:$A$23</c:f>
              <c:numCache>
                <c:formatCode>General</c:formatCode>
                <c:ptCount val="6"/>
              </c:numCache>
            </c:numRef>
          </c:xVal>
          <c:yVal>
            <c:numRef>
              <c:f>Sheet1!$B$18:$B$23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1-0E40-98B8-B2FAF1C7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1493</xdr:colOff>
      <xdr:row>11</xdr:row>
      <xdr:rowOff>33468</xdr:rowOff>
    </xdr:from>
    <xdr:to>
      <xdr:col>12</xdr:col>
      <xdr:colOff>381000</xdr:colOff>
      <xdr:row>24</xdr:row>
      <xdr:rowOff>141044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AD8C0-59FC-4D39-8141-D05795409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11</xdr:row>
      <xdr:rowOff>43629</xdr:rowOff>
    </xdr:from>
    <xdr:to>
      <xdr:col>6</xdr:col>
      <xdr:colOff>1088315</xdr:colOff>
      <xdr:row>24</xdr:row>
      <xdr:rowOff>151205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F884C-F9ED-4D27-3B45-7D1744EF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13</xdr:col>
      <xdr:colOff>190121</xdr:colOff>
      <xdr:row>41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363F5-19C2-8C42-A6F4-75BF5E7F3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1B4E-B07A-0944-9B27-A658A538A7C1}">
  <dimension ref="A1:I18"/>
  <sheetViews>
    <sheetView workbookViewId="0">
      <selection activeCell="C7" sqref="C7"/>
    </sheetView>
  </sheetViews>
  <sheetFormatPr baseColWidth="10" defaultRowHeight="16" x14ac:dyDescent="0.2"/>
  <sheetData>
    <row r="1" spans="1:9" x14ac:dyDescent="0.2">
      <c r="A1" t="s">
        <v>34</v>
      </c>
    </row>
    <row r="2" spans="1:9" ht="17" thickBot="1" x14ac:dyDescent="0.25"/>
    <row r="3" spans="1:9" x14ac:dyDescent="0.2">
      <c r="A3" s="16" t="s">
        <v>35</v>
      </c>
      <c r="B3" s="16"/>
    </row>
    <row r="4" spans="1:9" x14ac:dyDescent="0.2">
      <c r="A4" s="13" t="s">
        <v>36</v>
      </c>
      <c r="B4" s="13">
        <v>0.99998007924390919</v>
      </c>
    </row>
    <row r="5" spans="1:9" x14ac:dyDescent="0.2">
      <c r="A5" s="13" t="s">
        <v>37</v>
      </c>
      <c r="B5" s="13">
        <v>0.99996015888465484</v>
      </c>
    </row>
    <row r="6" spans="1:9" x14ac:dyDescent="0.2">
      <c r="A6" s="13" t="s">
        <v>38</v>
      </c>
      <c r="B6" s="13">
        <v>0.99995019860581857</v>
      </c>
    </row>
    <row r="7" spans="1:9" x14ac:dyDescent="0.2">
      <c r="A7" s="13" t="s">
        <v>39</v>
      </c>
      <c r="B7" s="13">
        <v>0.27003248196093976</v>
      </c>
    </row>
    <row r="8" spans="1:9" ht="17" thickBot="1" x14ac:dyDescent="0.25">
      <c r="A8" s="14" t="s">
        <v>40</v>
      </c>
      <c r="B8" s="14">
        <v>6</v>
      </c>
    </row>
    <row r="10" spans="1:9" ht="17" thickBot="1" x14ac:dyDescent="0.25">
      <c r="A10" t="s">
        <v>41</v>
      </c>
    </row>
    <row r="11" spans="1:9" x14ac:dyDescent="0.2">
      <c r="A11" s="15"/>
      <c r="B11" s="15" t="s">
        <v>46</v>
      </c>
      <c r="C11" s="15" t="s">
        <v>47</v>
      </c>
      <c r="D11" s="15" t="s">
        <v>48</v>
      </c>
      <c r="E11" s="15" t="s">
        <v>49</v>
      </c>
      <c r="F11" s="15" t="s">
        <v>50</v>
      </c>
    </row>
    <row r="12" spans="1:9" x14ac:dyDescent="0.2">
      <c r="A12" s="13" t="s">
        <v>42</v>
      </c>
      <c r="B12" s="13">
        <v>1</v>
      </c>
      <c r="C12" s="13">
        <v>7320.5416631680782</v>
      </c>
      <c r="D12" s="13">
        <v>7320.5416631680782</v>
      </c>
      <c r="E12" s="13">
        <v>100394.79570005786</v>
      </c>
      <c r="F12" s="13">
        <v>5.9525083220406623E-10</v>
      </c>
    </row>
    <row r="13" spans="1:9" x14ac:dyDescent="0.2">
      <c r="A13" s="13" t="s">
        <v>43</v>
      </c>
      <c r="B13" s="13">
        <v>4</v>
      </c>
      <c r="C13" s="13">
        <v>0.29167016525594103</v>
      </c>
      <c r="D13" s="13">
        <v>7.2917541313985257E-2</v>
      </c>
      <c r="E13" s="13"/>
      <c r="F13" s="13"/>
    </row>
    <row r="14" spans="1:9" ht="17" thickBot="1" x14ac:dyDescent="0.25">
      <c r="A14" s="14" t="s">
        <v>44</v>
      </c>
      <c r="B14" s="14">
        <v>5</v>
      </c>
      <c r="C14" s="14">
        <v>7320.8333333333339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51</v>
      </c>
      <c r="C16" s="15" t="s">
        <v>39</v>
      </c>
      <c r="D16" s="15" t="s">
        <v>52</v>
      </c>
      <c r="E16" s="15" t="s">
        <v>53</v>
      </c>
      <c r="F16" s="15" t="s">
        <v>54</v>
      </c>
      <c r="G16" s="15" t="s">
        <v>55</v>
      </c>
      <c r="H16" s="15" t="s">
        <v>56</v>
      </c>
      <c r="I16" s="15" t="s">
        <v>57</v>
      </c>
    </row>
    <row r="17" spans="1:9" x14ac:dyDescent="0.2">
      <c r="A17" s="13" t="s">
        <v>45</v>
      </c>
      <c r="B17" s="13">
        <v>-1.3054452354119128</v>
      </c>
      <c r="C17" s="13">
        <v>0.14980425994967592</v>
      </c>
      <c r="D17" s="13">
        <v>-8.7143398715794458</v>
      </c>
      <c r="E17" s="13">
        <v>9.5503084100747508E-4</v>
      </c>
      <c r="F17" s="13">
        <v>-1.7213685396869685</v>
      </c>
      <c r="G17" s="13">
        <v>-0.88952193113685729</v>
      </c>
      <c r="H17" s="13">
        <v>-1.7213685396869685</v>
      </c>
      <c r="I17" s="13">
        <v>-0.88952193113685729</v>
      </c>
    </row>
    <row r="18" spans="1:9" ht="17" thickBot="1" x14ac:dyDescent="0.25">
      <c r="A18" s="14" t="s">
        <v>58</v>
      </c>
      <c r="B18" s="14">
        <v>8.7104042520381716E-2</v>
      </c>
      <c r="C18" s="14">
        <v>2.7490504566442291E-4</v>
      </c>
      <c r="D18" s="14">
        <v>316.85137793618304</v>
      </c>
      <c r="E18" s="14">
        <v>5.9525083220406623E-10</v>
      </c>
      <c r="F18" s="14">
        <v>8.634078375195256E-2</v>
      </c>
      <c r="G18" s="14">
        <v>8.7867301288810873E-2</v>
      </c>
      <c r="H18" s="14">
        <v>8.634078375195256E-2</v>
      </c>
      <c r="I18" s="14">
        <v>8.7867301288810873E-2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B00-7318-844F-BF56-F62F78644BC3}">
  <dimension ref="A1:I18"/>
  <sheetViews>
    <sheetView workbookViewId="0">
      <selection sqref="A1:I21"/>
    </sheetView>
  </sheetViews>
  <sheetFormatPr baseColWidth="10" defaultRowHeight="16" x14ac:dyDescent="0.2"/>
  <sheetData>
    <row r="1" spans="1:9" x14ac:dyDescent="0.2">
      <c r="A1" t="s">
        <v>34</v>
      </c>
    </row>
    <row r="2" spans="1:9" ht="17" thickBot="1" x14ac:dyDescent="0.25"/>
    <row r="3" spans="1:9" x14ac:dyDescent="0.2">
      <c r="A3" s="16" t="s">
        <v>35</v>
      </c>
      <c r="B3" s="16"/>
    </row>
    <row r="4" spans="1:9" x14ac:dyDescent="0.2">
      <c r="A4" s="13" t="s">
        <v>36</v>
      </c>
      <c r="B4" s="13">
        <v>0.99998126167621626</v>
      </c>
    </row>
    <row r="5" spans="1:9" x14ac:dyDescent="0.2">
      <c r="A5" s="13" t="s">
        <v>37</v>
      </c>
      <c r="B5" s="13">
        <v>0.9999625237035572</v>
      </c>
    </row>
    <row r="6" spans="1:9" x14ac:dyDescent="0.2">
      <c r="A6" s="13" t="s">
        <v>38</v>
      </c>
      <c r="B6" s="13">
        <v>0.99995315462944645</v>
      </c>
    </row>
    <row r="7" spans="1:9" x14ac:dyDescent="0.2">
      <c r="A7" s="13" t="s">
        <v>39</v>
      </c>
      <c r="B7" s="13">
        <v>0.26189583817237372</v>
      </c>
    </row>
    <row r="8" spans="1:9" ht="17" thickBot="1" x14ac:dyDescent="0.25">
      <c r="A8" s="14" t="s">
        <v>40</v>
      </c>
      <c r="B8" s="14">
        <v>6</v>
      </c>
    </row>
    <row r="10" spans="1:9" ht="17" thickBot="1" x14ac:dyDescent="0.25">
      <c r="A10" t="s">
        <v>41</v>
      </c>
    </row>
    <row r="11" spans="1:9" x14ac:dyDescent="0.2">
      <c r="A11" s="15"/>
      <c r="B11" s="15" t="s">
        <v>46</v>
      </c>
      <c r="C11" s="15" t="s">
        <v>47</v>
      </c>
      <c r="D11" s="15" t="s">
        <v>48</v>
      </c>
      <c r="E11" s="15" t="s">
        <v>49</v>
      </c>
      <c r="F11" s="15" t="s">
        <v>50</v>
      </c>
    </row>
    <row r="12" spans="1:9" x14ac:dyDescent="0.2">
      <c r="A12" s="13" t="s">
        <v>42</v>
      </c>
      <c r="B12" s="13">
        <v>1</v>
      </c>
      <c r="C12" s="13">
        <v>7320.5589756131258</v>
      </c>
      <c r="D12" s="13">
        <v>7320.5589756131258</v>
      </c>
      <c r="E12" s="13">
        <v>106730.13276334376</v>
      </c>
      <c r="F12" s="13">
        <v>5.2668387759316591E-10</v>
      </c>
    </row>
    <row r="13" spans="1:9" x14ac:dyDescent="0.2">
      <c r="A13" s="13" t="s">
        <v>43</v>
      </c>
      <c r="B13" s="13">
        <v>4</v>
      </c>
      <c r="C13" s="13">
        <v>0.27435772020804067</v>
      </c>
      <c r="D13" s="13">
        <v>6.8589430052010167E-2</v>
      </c>
      <c r="E13" s="13"/>
      <c r="F13" s="13"/>
    </row>
    <row r="14" spans="1:9" ht="17" thickBot="1" x14ac:dyDescent="0.25">
      <c r="A14" s="14" t="s">
        <v>44</v>
      </c>
      <c r="B14" s="14">
        <v>5</v>
      </c>
      <c r="C14" s="14">
        <v>7320.8333333333339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51</v>
      </c>
      <c r="C16" s="15" t="s">
        <v>39</v>
      </c>
      <c r="D16" s="15" t="s">
        <v>52</v>
      </c>
      <c r="E16" s="15" t="s">
        <v>53</v>
      </c>
      <c r="F16" s="15" t="s">
        <v>54</v>
      </c>
      <c r="G16" s="15" t="s">
        <v>55</v>
      </c>
      <c r="H16" s="15" t="s">
        <v>56</v>
      </c>
      <c r="I16" s="15" t="s">
        <v>57</v>
      </c>
    </row>
    <row r="17" spans="1:9" x14ac:dyDescent="0.2">
      <c r="A17" s="13" t="s">
        <v>45</v>
      </c>
      <c r="B17" s="13">
        <v>-0.59412489015331005</v>
      </c>
      <c r="C17" s="13">
        <v>0.14382494104708374</v>
      </c>
      <c r="D17" s="13">
        <v>-4.1308891616984038</v>
      </c>
      <c r="E17" s="13">
        <v>1.4483418783054734E-2</v>
      </c>
      <c r="F17" s="13">
        <v>-0.9934469437288469</v>
      </c>
      <c r="G17" s="13">
        <v>-0.1948028365777732</v>
      </c>
      <c r="H17" s="13">
        <v>-0.9934469437288469</v>
      </c>
      <c r="I17" s="13">
        <v>-0.1948028365777732</v>
      </c>
    </row>
    <row r="18" spans="1:9" ht="17" thickBot="1" x14ac:dyDescent="0.25">
      <c r="A18" s="14" t="s">
        <v>58</v>
      </c>
      <c r="B18" s="14">
        <v>7.6083348633482412E-4</v>
      </c>
      <c r="C18" s="14">
        <v>2.3288745450015828E-6</v>
      </c>
      <c r="D18" s="14">
        <v>326.69578014315368</v>
      </c>
      <c r="E18" s="14">
        <v>5.2668387759316591E-10</v>
      </c>
      <c r="F18" s="14">
        <v>7.5436749400373477E-4</v>
      </c>
      <c r="G18" s="14">
        <v>7.6729947866591348E-4</v>
      </c>
      <c r="H18" s="14">
        <v>7.5436749400373477E-4</v>
      </c>
      <c r="I18" s="14">
        <v>7.6729947866591348E-4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zoomScale="114" workbookViewId="0">
      <selection activeCell="P17" sqref="P10:P17"/>
    </sheetView>
  </sheetViews>
  <sheetFormatPr baseColWidth="10" defaultColWidth="11" defaultRowHeight="16" x14ac:dyDescent="0.2"/>
  <cols>
    <col min="2" max="2" width="20" style="3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30</v>
      </c>
      <c r="C1" s="11"/>
      <c r="D1" s="11"/>
      <c r="E1" s="11"/>
      <c r="G1" s="12" t="s">
        <v>31</v>
      </c>
      <c r="H1" s="12"/>
      <c r="I1" s="12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13</v>
      </c>
      <c r="K2" s="11"/>
      <c r="M2" s="11" t="s">
        <v>14</v>
      </c>
      <c r="N2" s="11"/>
      <c r="O2" s="11"/>
      <c r="P2" s="11" t="s">
        <v>16</v>
      </c>
      <c r="Q2" s="11"/>
      <c r="R2" s="11"/>
    </row>
    <row r="3" spans="1:18" x14ac:dyDescent="0.2">
      <c r="B3" s="3">
        <v>1E-4</v>
      </c>
      <c r="C3" s="3">
        <v>2.0000000000000001E-4</v>
      </c>
      <c r="D3" s="3">
        <v>6.9999999999999999E-4</v>
      </c>
      <c r="E3" s="3">
        <v>8.9999999999999998E-4</v>
      </c>
      <c r="J3" s="4"/>
      <c r="K3" s="6"/>
    </row>
    <row r="4" spans="1:18" x14ac:dyDescent="0.2">
      <c r="A4">
        <v>1</v>
      </c>
      <c r="B4" s="3">
        <v>2.3999999999999998E-3</v>
      </c>
      <c r="C4" s="3">
        <v>0.55910000000000004</v>
      </c>
      <c r="D4" s="3">
        <v>0.1396</v>
      </c>
      <c r="E4" s="3">
        <v>9.0300000000000005E-2</v>
      </c>
      <c r="G4" s="2">
        <f t="shared" ref="G4:I6" si="0">(C4-$B4)</f>
        <v>0.55670000000000008</v>
      </c>
      <c r="H4" s="2">
        <f t="shared" si="0"/>
        <v>0.13719999999999999</v>
      </c>
      <c r="I4" s="2">
        <f t="shared" si="0"/>
        <v>8.7900000000000006E-2</v>
      </c>
      <c r="J4" s="1">
        <f>(11.85*((ABS(G4)))-(1.54*(ABS(H4))-(0.08*(ABS(I4)))))</f>
        <v>6.3926390000000008</v>
      </c>
      <c r="K4" s="1">
        <f>((12.18*G4)-(2.64*H4))</f>
        <v>6.4183980000000007</v>
      </c>
      <c r="M4" s="9">
        <f t="shared" ref="M4:N6" si="1">J4*1000</f>
        <v>6392.639000000001</v>
      </c>
      <c r="N4" s="9">
        <f t="shared" si="1"/>
        <v>6418.398000000001</v>
      </c>
      <c r="O4" s="9">
        <f>(G4/(87.67))*1000*1000</f>
        <v>6349.9486711531881</v>
      </c>
    </row>
    <row r="5" spans="1:18" x14ac:dyDescent="0.2">
      <c r="A5">
        <v>2</v>
      </c>
      <c r="B5" s="3">
        <v>2.3999999999999998E-3</v>
      </c>
      <c r="C5" s="3">
        <v>0.55900000000000005</v>
      </c>
      <c r="D5" s="3">
        <v>0.13950000000000001</v>
      </c>
      <c r="E5" s="3">
        <v>8.9700000000000002E-2</v>
      </c>
      <c r="G5" s="2">
        <f t="shared" si="0"/>
        <v>0.55660000000000009</v>
      </c>
      <c r="H5" s="2">
        <f t="shared" si="0"/>
        <v>0.1371</v>
      </c>
      <c r="I5" s="2">
        <f t="shared" si="0"/>
        <v>8.7300000000000003E-2</v>
      </c>
      <c r="J5" s="1">
        <f>(11.85*((ABS(G5)))-(1.54*(ABS(H5))-(0.08*(ABS(I5)))))</f>
        <v>6.391560000000001</v>
      </c>
      <c r="K5" s="1">
        <f>((12.18*G5)-(2.64*H5))</f>
        <v>6.4174440000000006</v>
      </c>
      <c r="M5" s="9">
        <f t="shared" si="1"/>
        <v>6391.5600000000013</v>
      </c>
      <c r="N5" s="9">
        <f t="shared" si="1"/>
        <v>6417.4440000000004</v>
      </c>
      <c r="O5" s="9">
        <f>(G5/(87.67))*1000*1000</f>
        <v>6348.8080301129248</v>
      </c>
    </row>
    <row r="6" spans="1:18" x14ac:dyDescent="0.2">
      <c r="A6">
        <v>3</v>
      </c>
      <c r="B6" s="3">
        <v>1.9E-3</v>
      </c>
      <c r="C6" s="3">
        <v>0.55969999999999998</v>
      </c>
      <c r="D6" s="3">
        <v>0.13969999999999999</v>
      </c>
      <c r="E6" s="3">
        <v>8.9700000000000002E-2</v>
      </c>
      <c r="G6" s="2">
        <f t="shared" si="0"/>
        <v>0.55779999999999996</v>
      </c>
      <c r="H6" s="2">
        <f t="shared" si="0"/>
        <v>0.13779999999999998</v>
      </c>
      <c r="I6" s="2">
        <f t="shared" si="0"/>
        <v>8.7800000000000003E-2</v>
      </c>
      <c r="J6" s="1">
        <f>(11.85*((ABS(G6)))-(1.54*(ABS(H6))-(0.08*(ABS(I6)))))</f>
        <v>6.4047419999999997</v>
      </c>
      <c r="K6" s="1">
        <f>((12.18*G6)-(2.64*H6))</f>
        <v>6.4302119999999992</v>
      </c>
      <c r="M6" s="9">
        <f t="shared" si="1"/>
        <v>6404.7419999999993</v>
      </c>
      <c r="N6" s="9">
        <f t="shared" si="1"/>
        <v>6430.2119999999995</v>
      </c>
      <c r="O6" s="9">
        <f>(G6/(87.67))*1000*1000</f>
        <v>6362.4957225960989</v>
      </c>
    </row>
    <row r="7" spans="1:18" x14ac:dyDescent="0.2">
      <c r="G7" s="2"/>
      <c r="H7" s="2"/>
      <c r="I7" s="2"/>
      <c r="J7" s="1"/>
      <c r="K7" s="1"/>
      <c r="M7" s="9">
        <f>AVERAGE(M4:M6)</f>
        <v>6396.3136666666678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B9" s="3" t="s">
        <v>32</v>
      </c>
      <c r="C9" s="3" t="s">
        <v>33</v>
      </c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A10">
        <v>0</v>
      </c>
      <c r="B10" s="3">
        <v>14</v>
      </c>
      <c r="C10" s="3">
        <v>469.375</v>
      </c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A11">
        <v>5</v>
      </c>
      <c r="B11" s="3">
        <v>70.48</v>
      </c>
      <c r="C11" s="3">
        <v>7253.3333300000004</v>
      </c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A12">
        <v>10</v>
      </c>
      <c r="B12" s="3">
        <v>129.05000000000001</v>
      </c>
      <c r="C12" s="3">
        <v>13931</v>
      </c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A13">
        <v>20</v>
      </c>
      <c r="B13" s="3">
        <v>245.86</v>
      </c>
      <c r="C13" s="3">
        <v>27261.333330000001</v>
      </c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A14">
        <v>50</v>
      </c>
      <c r="B14" s="3">
        <v>594</v>
      </c>
      <c r="C14" s="3">
        <v>66995.666670000006</v>
      </c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A15">
        <v>100</v>
      </c>
      <c r="B15" s="3">
        <v>1160.43</v>
      </c>
      <c r="C15" s="3">
        <v>131929</v>
      </c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6396.3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19</v>
      </c>
      <c r="B32" s="3">
        <f>(30*D32)/B30</f>
        <v>0.46902115285399371</v>
      </c>
      <c r="C32" s="3" t="s">
        <v>18</v>
      </c>
      <c r="D32" s="3">
        <v>100</v>
      </c>
      <c r="E32" s="3">
        <f>30-B32</f>
        <v>29.530978847146006</v>
      </c>
      <c r="F32">
        <f>B32+E32</f>
        <v>30</v>
      </c>
      <c r="G32">
        <f>F32-B33</f>
        <v>20</v>
      </c>
    </row>
    <row r="33" spans="1:7" x14ac:dyDescent="0.2">
      <c r="A33" t="s">
        <v>21</v>
      </c>
      <c r="B33" s="3">
        <f>(F33*D33)/D32</f>
        <v>10</v>
      </c>
      <c r="C33" s="3" t="s">
        <v>19</v>
      </c>
      <c r="D33" s="3">
        <v>50</v>
      </c>
      <c r="E33" s="3">
        <f>F33-B33</f>
        <v>10</v>
      </c>
      <c r="F33">
        <f>20</f>
        <v>20</v>
      </c>
      <c r="G33">
        <f>F33-B34</f>
        <v>12</v>
      </c>
    </row>
    <row r="34" spans="1:7" x14ac:dyDescent="0.2">
      <c r="A34" t="s">
        <v>25</v>
      </c>
      <c r="B34" s="3">
        <f>(F34*D34)/D33</f>
        <v>8</v>
      </c>
      <c r="C34" s="3" t="s">
        <v>21</v>
      </c>
      <c r="D34" s="3">
        <v>20</v>
      </c>
      <c r="E34" s="3">
        <f>F34-B34</f>
        <v>12</v>
      </c>
      <c r="F34">
        <v>20</v>
      </c>
      <c r="G34">
        <f>F34-B35</f>
        <v>10</v>
      </c>
    </row>
    <row r="35" spans="1:7" x14ac:dyDescent="0.2">
      <c r="A35" t="s">
        <v>26</v>
      </c>
      <c r="B35" s="3">
        <f>(F35*D35)/D34</f>
        <v>10</v>
      </c>
      <c r="C35" s="3" t="s">
        <v>25</v>
      </c>
      <c r="D35" s="3">
        <v>10</v>
      </c>
      <c r="E35" s="3">
        <f>F35-B35</f>
        <v>10</v>
      </c>
      <c r="F35">
        <v>20</v>
      </c>
      <c r="G35">
        <f>F35-B36</f>
        <v>10</v>
      </c>
    </row>
    <row r="36" spans="1:7" x14ac:dyDescent="0.2">
      <c r="A36" t="s">
        <v>27</v>
      </c>
      <c r="B36" s="3">
        <f>(F36*D36)/D35</f>
        <v>10</v>
      </c>
      <c r="C36" s="3" t="s">
        <v>26</v>
      </c>
      <c r="D36" s="3">
        <v>5</v>
      </c>
      <c r="E36" s="3">
        <f>F36-B36</f>
        <v>10</v>
      </c>
      <c r="F36">
        <v>20</v>
      </c>
      <c r="G36">
        <f>F36-B37</f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2026-01-22T21:17:19Z</dcterms:modified>
</cp:coreProperties>
</file>
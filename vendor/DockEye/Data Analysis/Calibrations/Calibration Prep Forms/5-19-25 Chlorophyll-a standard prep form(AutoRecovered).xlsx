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 Prep Forms/Calibration Prep Forms/"/>
    </mc:Choice>
  </mc:AlternateContent>
  <xr:revisionPtr revIDLastSave="0" documentId="8_{16C43B10-3313-1842-BAB8-80720B5DC23D}" xr6:coauthVersionLast="47" xr6:coauthVersionMax="47" xr10:uidLastSave="{00000000-0000-0000-0000-000000000000}"/>
  <bookViews>
    <workbookView xWindow="160" yWindow="920" windowWidth="14480" windowHeight="1712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/>
  <c r="B32" i="1"/>
  <c r="B33" i="1"/>
  <c r="C8" i="1"/>
  <c r="D8" i="1"/>
  <c r="E8" i="1"/>
  <c r="B8" i="1"/>
  <c r="B36" i="1"/>
  <c r="B35" i="1"/>
  <c r="B34" i="1"/>
  <c r="F33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I8" i="1" l="1"/>
  <c r="G8" i="1"/>
  <c r="O8" i="1" s="1"/>
  <c r="H8" i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  <c r="J8" i="1" l="1"/>
  <c r="M8" i="1" s="1"/>
  <c r="K8" i="1"/>
  <c r="N8" i="1" s="1"/>
</calcChain>
</file>

<file path=xl/sharedStrings.xml><?xml version="1.0" encoding="utf-8"?>
<sst xmlns="http://schemas.openxmlformats.org/spreadsheetml/2006/main" count="47" uniqueCount="37">
  <si>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</si>
  <si>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</si>
  <si>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</si>
  <si>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</si>
  <si>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</si>
  <si>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</si>
  <si>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</si>
  <si>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</si>
  <si>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</si>
  <si>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</si>
  <si>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</si>
  <si>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</si>
  <si>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</si>
  <si>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</si>
  <si>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</si>
  <si>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</si>
  <si>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</si>
  <si>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</si>
  <si>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</si>
  <si>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</si>
  <si>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</si>
  <si>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</si>
  <si>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</si>
  <si>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Final Concentration</t>
  </si>
  <si>
    <t>100 ug/L</t>
  </si>
  <si>
    <t>CS4</t>
  </si>
  <si>
    <t>Volume 90% (mL)</t>
  </si>
  <si>
    <t>50 ug/L</t>
  </si>
  <si>
    <t>Final Volume (mL)</t>
  </si>
  <si>
    <t>Spiking solution to add (mL)</t>
  </si>
  <si>
    <t>CS3</t>
  </si>
  <si>
    <t>10 ug/L</t>
  </si>
  <si>
    <t>20 ug/L</t>
  </si>
  <si>
    <t>CS2</t>
  </si>
  <si>
    <t>CS1</t>
  </si>
  <si>
    <t>5 ug/L</t>
  </si>
  <si>
    <t>Volume after prep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</si>
</sst>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topLeftCell="B1" zoomScale="90" workbookViewId="0">
      <selection activeCell="M1" sqref="M1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17.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G4" s="2">
        <f t="shared" ref="G4:I8" si="0">(C4-$B4)/10</f>
        <v>0</v>
      </c>
      <c r="H4" s="2">
        <f t="shared" si="0"/>
        <v>0</v>
      </c>
      <c r="I4" s="2">
        <f t="shared" si="0"/>
        <v>0</v>
      </c>
      <c r="J4" s="1">
        <f>(11.85*((ABS(G4)))-(1.54*(ABS(H4))-(0.08*(ABS(I4)))))</f>
        <v>0</v>
      </c>
      <c r="K4" s="1">
        <f>((12.18*G4)-(2.64*H4))</f>
        <v>0</v>
      </c>
      <c r="M4" s="9">
        <f t="shared" ref="M4:N8" si="1">J4*1000</f>
        <v>0</v>
      </c>
      <c r="N4" s="9">
        <f t="shared" si="1"/>
        <v>0</v>
      </c>
      <c r="O4" s="9">
        <f>(G4/(87.67))*1000*1000</f>
        <v>0</v>
      </c>
    </row>
    <row r="5" spans="1:18" x14ac:dyDescent="0.2">
      <c r="A5">
        <v>1</v>
      </c>
      <c r="B5" s="3">
        <v>3.8E-3</v>
      </c>
      <c r="C5" s="3">
        <v>5.1900000000000002E-2</v>
      </c>
      <c r="D5" s="3">
        <v>1.9199999999999998E-2</v>
      </c>
      <c r="E5" s="3">
        <v>1.2500000000000001E-2</v>
      </c>
      <c r="G5" s="2">
        <f t="shared" si="0"/>
        <v>4.81E-3</v>
      </c>
      <c r="H5" s="2">
        <f t="shared" si="0"/>
        <v>1.5399999999999999E-3</v>
      </c>
      <c r="I5" s="2">
        <f t="shared" si="0"/>
        <v>8.7000000000000011E-4</v>
      </c>
      <c r="J5" s="1">
        <f>(11.85*((ABS(G5)))-(1.54*(ABS(H5))-(0.08*(ABS(I5)))))</f>
        <v>5.4696500000000002E-2</v>
      </c>
      <c r="K5" s="1">
        <f>((12.18*G5)-(2.64*H5))</f>
        <v>5.4520199999999998E-2</v>
      </c>
      <c r="M5" s="9">
        <f t="shared" si="1"/>
        <v>54.6965</v>
      </c>
      <c r="N5" s="9">
        <f t="shared" si="1"/>
        <v>54.520199999999996</v>
      </c>
      <c r="O5" s="9">
        <f>(G5/(87.67))*1000*1000</f>
        <v>54.864834036728645</v>
      </c>
    </row>
    <row r="6" spans="1:18" x14ac:dyDescent="0.2">
      <c r="A6">
        <v>2</v>
      </c>
      <c r="B6" s="3">
        <v>1.4200000000000001E-2</v>
      </c>
      <c r="C6" s="3">
        <v>0.32340000000000002</v>
      </c>
      <c r="D6" s="3">
        <v>0.15440000000000001</v>
      </c>
      <c r="E6" s="3">
        <v>8.09E-3</v>
      </c>
      <c r="G6" s="2">
        <f t="shared" si="0"/>
        <v>3.0920000000000003E-2</v>
      </c>
      <c r="H6" s="2">
        <f t="shared" si="0"/>
        <v>1.4020000000000001E-2</v>
      </c>
      <c r="I6" s="2">
        <f t="shared" si="0"/>
        <v>-6.1100000000000011E-4</v>
      </c>
      <c r="J6" s="1">
        <f>(11.85*((ABS(G6)))-(1.54*(ABS(H6))-(0.08*(ABS(I6)))))</f>
        <v>0.34486008000000001</v>
      </c>
      <c r="K6" s="1">
        <f>((12.18*G6)-(2.64*H6))</f>
        <v>0.33959280000000003</v>
      </c>
      <c r="M6" s="9">
        <f t="shared" si="1"/>
        <v>344.86008000000004</v>
      </c>
      <c r="N6" s="9">
        <f t="shared" si="1"/>
        <v>339.59280000000001</v>
      </c>
      <c r="O6" s="9">
        <f>(G6/(87.67))*1000*1000</f>
        <v>352.68620964982324</v>
      </c>
    </row>
    <row r="7" spans="1:18" x14ac:dyDescent="0.2">
      <c r="A7">
        <v>3</v>
      </c>
      <c r="B7" s="3">
        <v>1.4200000000000001E-2</v>
      </c>
      <c r="C7" s="3">
        <v>0.32279999999999998</v>
      </c>
      <c r="D7" s="3">
        <v>0.15390000000000001</v>
      </c>
      <c r="E7" s="3">
        <v>8.0400000000000003E-3</v>
      </c>
      <c r="G7" s="2">
        <f t="shared" si="0"/>
        <v>3.0859999999999999E-2</v>
      </c>
      <c r="H7" s="2">
        <f t="shared" si="0"/>
        <v>1.3970000000000002E-2</v>
      </c>
      <c r="I7" s="2">
        <f t="shared" si="0"/>
        <v>-6.1600000000000001E-4</v>
      </c>
      <c r="J7" s="1">
        <f>(11.85*((ABS(G7)))-(1.54*(ABS(H7))-(0.08*(ABS(I7)))))</f>
        <v>0.34422648</v>
      </c>
      <c r="K7" s="1">
        <f>((12.18*G7)-(2.64*H7))</f>
        <v>0.33899399999999996</v>
      </c>
      <c r="M7" s="9">
        <f t="shared" si="1"/>
        <v>344.22647999999998</v>
      </c>
      <c r="N7" s="9">
        <f t="shared" si="1"/>
        <v>338.99399999999997</v>
      </c>
      <c r="O7" s="9">
        <f>(G7/(87.67))*1000*1000</f>
        <v>352.0018250256644</v>
      </c>
    </row>
    <row r="8" spans="1:18" x14ac:dyDescent="0.2">
      <c r="B8" s="3">
        <f>AVERAGE(B5:B7)</f>
        <v>1.0733333333333336E-2</v>
      </c>
      <c r="C8" s="3">
        <f>AVERAGE(C5:C7)</f>
        <v>0.23269999999999999</v>
      </c>
      <c r="D8" s="3">
        <f>AVERAGE(D5:D7)</f>
        <v>0.10916666666666668</v>
      </c>
      <c r="E8" s="3">
        <f>AVERAGE(E5:E7)</f>
        <v>9.5433333333333342E-3</v>
      </c>
      <c r="G8" s="2">
        <f t="shared" si="0"/>
        <v>2.2196666666666663E-2</v>
      </c>
      <c r="H8" s="2">
        <f t="shared" si="0"/>
        <v>9.8433333333333341E-3</v>
      </c>
      <c r="I8" s="2">
        <f t="shared" si="0"/>
        <v>-1.1900000000000018E-4</v>
      </c>
      <c r="J8" s="1">
        <f>(11.85*((ABS(G8)))-(1.54*(ABS(H8))-(0.08*(ABS(I8)))))</f>
        <v>0.24788128666666662</v>
      </c>
      <c r="K8" s="1">
        <f>((12.18*G8)-(2.64*H8))</f>
        <v>0.24436899999999998</v>
      </c>
      <c r="M8" s="9">
        <f t="shared" si="1"/>
        <v>247.88128666666663</v>
      </c>
      <c r="N8" s="9">
        <f t="shared" si="1"/>
        <v>244.36899999999997</v>
      </c>
      <c r="O8" s="9">
        <f>(G8/(87.67))*1000*1000</f>
        <v>253.18428957073868</v>
      </c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352.5</v>
      </c>
    </row>
    <row r="31" spans="1:18" x14ac:dyDescent="0.2">
      <c r="B31" s="3" t="s">
        <v>29</v>
      </c>
      <c r="C31" s="3" t="s">
        <v>22</v>
      </c>
      <c r="D31" s="3" t="s">
        <v>23</v>
      </c>
      <c r="E31" s="3" t="s">
        <v>26</v>
      </c>
      <c r="F31" s="3" t="s">
        <v>28</v>
      </c>
      <c r="G31" s="3" t="s">
        <v>36</v>
      </c>
    </row>
    <row r="32" spans="1:18" x14ac:dyDescent="0.2">
      <c r="A32" t="s">
        <v>21</v>
      </c>
      <c r="B32" s="3">
        <f>(20*100)/B30</f>
        <v>5.6737588652482271</v>
      </c>
      <c r="C32" s="3" t="s">
        <v>20</v>
      </c>
      <c r="D32" s="3" t="s">
        <v>24</v>
      </c>
      <c r="E32" s="3">
        <f>30-B32</f>
        <v>24.326241134751772</v>
      </c>
      <c r="F32">
        <f>B32+E32</f>
        <v>30</v>
      </c>
      <c r="G32">
        <v>20</v>
      </c>
    </row>
    <row r="33" spans="1:7" x14ac:dyDescent="0.2">
      <c r="A33" t="s">
        <v>25</v>
      </c>
      <c r="B33" s="3">
        <f>(20*50)/100</f>
        <v>10</v>
      </c>
      <c r="C33" s="3" t="s">
        <v>21</v>
      </c>
      <c r="D33" s="3" t="s">
        <v>27</v>
      </c>
      <c r="E33" s="3">
        <v>10</v>
      </c>
      <c r="F33">
        <f>B33+E33</f>
        <v>20</v>
      </c>
      <c r="G33">
        <v>12</v>
      </c>
    </row>
    <row r="34" spans="1:7" x14ac:dyDescent="0.2">
      <c r="A34" t="s">
        <v>30</v>
      </c>
      <c r="B34" s="3">
        <f>(20*20)/50</f>
        <v>8</v>
      </c>
      <c r="C34" s="3" t="s">
        <v>25</v>
      </c>
      <c r="D34" s="3" t="s">
        <v>32</v>
      </c>
      <c r="E34" s="3">
        <v>12</v>
      </c>
      <c r="F34">
        <v>20</v>
      </c>
      <c r="G34">
        <v>10</v>
      </c>
    </row>
    <row r="35" spans="1:7" x14ac:dyDescent="0.2">
      <c r="A35" t="s">
        <v>33</v>
      </c>
      <c r="B35" s="3">
        <f>(20*10)/20</f>
        <v>10</v>
      </c>
      <c r="C35" s="3" t="s">
        <v>30</v>
      </c>
      <c r="D35" s="3" t="s">
        <v>31</v>
      </c>
      <c r="E35" s="3">
        <v>10</v>
      </c>
      <c r="F35">
        <v>20</v>
      </c>
      <c r="G35">
        <v>10</v>
      </c>
    </row>
    <row r="36" spans="1:7" x14ac:dyDescent="0.2">
      <c r="A36" t="s">
        <v>34</v>
      </c>
      <c r="B36" s="3">
        <f>(20*5)/10</f>
        <v>10</v>
      </c>
      <c r="C36" s="3" t="s">
        <v>33</v>
      </c>
      <c r="D36" s="3" t="s">
        <v>35</v>
      </c>
      <c r="E36" s="3">
        <v>10</v>
      </c>
      <c r="F36">
        <v>20</v>
      </c>
      <c r="G36"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2025-08-01T16:27:58Z</dcterms:modified>
</cp:coreProperties>
</file>
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13_ncr:1_{E55FEB21-53E0-514C-BA6C-67BD9099A0F3}" xr6:coauthVersionLast="47" xr6:coauthVersionMax="47" xr10:uidLastSave="{00000000-0000-0000-0000-000000000000}"/>
  <bookViews>
    <workbookView xWindow="0" yWindow="740" windowWidth="29400" windowHeight="1838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I6" i="1"/>
  <c r="I5" i="1"/>
  <c r="I4" i="1"/>
  <c r="H6" i="1"/>
  <c r="H5" i="1"/>
  <c r="H4" i="1"/>
  <c r="G6" i="1"/>
  <c r="G5" i="1"/>
  <c r="O5" i="1" s="1"/>
  <c r="G4" i="1"/>
  <c r="O4" i="1" s="1"/>
  <c r="B34" i="1"/>
  <c r="G33" i="1" s="1"/>
  <c r="F33" i="1"/>
  <c r="E33" i="1" s="1"/>
  <c r="B35" i="1"/>
  <c r="E35" i="1" s="1"/>
  <c r="B36" i="1"/>
  <c r="G35" i="1" s="1"/>
  <c r="G36" i="1"/>
  <c r="B33" i="1"/>
  <c r="E36" i="1" l="1"/>
  <c r="G34" i="1"/>
  <c r="E34" i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<sst xmlns="http://schemas.openxmlformats.org/spreadsheetml/2006/main" count="46" uniqueCount="36">
  <si>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</si>
  <si>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</si>
  <si>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</si>
  <si>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</si>
  <si>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</si>
  <si>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</si>
  <si>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</si>
  <si>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</si>
  <si>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</si>
  <si>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</si>
  <si>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</si>
  <si>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</si>
  <si>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</si>
  <si>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</si>
  <si>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</si>
  <si>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</si>
  <si>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</si>
  <si>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</si>
  <si>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</si>
  <si>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</si>
  <si>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</si>
  <si>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</si>
  <si>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</si>
  <si>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</si>
  <si>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</si>
  <si>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</si>
  <si>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</si>
  <si>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</si>
  <si>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</si>
  <si>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</si>
  <si>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1 cm cell in 90% acetone</t>
  </si>
  <si>
    <t>Baseline corrected</t>
  </si>
  <si>
    <t>DockEye</t>
  </si>
  <si>
    <t>Horiba</t>
  </si>
  <si>
    <t>DockEye Dev</t>
  </si>
  <si>
    <t>run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</si>
</sst>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8-14-25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Sheet1!$B$10:$B$15</c:f>
              <c:numCache>
                <c:formatCode>General</c:formatCode>
                <c:ptCount val="6"/>
                <c:pt idx="0">
                  <c:v>16.48</c:v>
                </c:pt>
                <c:pt idx="1">
                  <c:v>77.67</c:v>
                </c:pt>
                <c:pt idx="2">
                  <c:v>148.05000000000001</c:v>
                </c:pt>
                <c:pt idx="3">
                  <c:v>285.76</c:v>
                </c:pt>
                <c:pt idx="4">
                  <c:v>591.1</c:v>
                </c:pt>
                <c:pt idx="5">
                  <c:v>1153.95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E-FB44-B614-42786572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Horiba Calibration 8-14-25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Sheet1!$A$10:$A$15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352.23077000000001</c:v>
                </c:pt>
                <c:pt idx="1">
                  <c:v>8175.3333300000004</c:v>
                </c:pt>
                <c:pt idx="2">
                  <c:v>16901.666669999999</c:v>
                </c:pt>
                <c:pt idx="3">
                  <c:v>33434.333330000001</c:v>
                </c:pt>
                <c:pt idx="4">
                  <c:v>73402</c:v>
                </c:pt>
                <c:pt idx="5">
                  <c:v>142951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0-6B4A-9E88-8CA33591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708575"/>
        <c:axId val="760428895"/>
      </c:scatterChart>
      <c:valAx>
        <c:axId val="130970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28895"/>
        <c:crosses val="autoZero"/>
        <c:crossBetween val="midCat"/>
      </c:valAx>
      <c:valAx>
        <c:axId val="7604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708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DockEye</a:t>
            </a:r>
            <a:r>
              <a:rPr lang="en-US" baseline="0"/>
              <a:t> Calibration 8-14-25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Sheet1!$A$18:$A$23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Sheet1!$B$18:$B$23</c:f>
              <c:numCache>
                <c:formatCode>General</c:formatCode>
                <c:ptCount val="6"/>
                <c:pt idx="0">
                  <c:v>24.1</c:v>
                </c:pt>
                <c:pt idx="1">
                  <c:v>36.950000000000003</c:v>
                </c:pt>
                <c:pt idx="2">
                  <c:v>65.05</c:v>
                </c:pt>
                <c:pt idx="3">
                  <c:v>122.05</c:v>
                </c:pt>
                <c:pt idx="4">
                  <c:v>215.86</c:v>
                </c:pt>
                <c:pt idx="5">
                  <c:v>408.95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1-0E40-98B8-B2FAF1C7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21679"/>
        <c:axId val="396162159"/>
      </c:scatterChart>
      <c:valAx>
        <c:axId val="163982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162159"/>
        <c:crosses val="autoZero"/>
        <c:crossBetween val="midCat"/>
      </c:valAx>
      <c:valAx>
        <c:axId val="3961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2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1493</xdr:colOff>
      <xdr:row>11</xdr:row>
      <xdr:rowOff>33468</xdr:rowOff>
    </xdr:from>
    <xdr:to>
      <xdr:col>12</xdr:col>
      <xdr:colOff>381000</xdr:colOff>
      <xdr:row>24</xdr:row>
      <xdr:rowOff>141044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AD8C0-59FC-4D39-8141-D05795409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11</xdr:row>
      <xdr:rowOff>43629</xdr:rowOff>
    </xdr:from>
    <xdr:to>
      <xdr:col>6</xdr:col>
      <xdr:colOff>1088315</xdr:colOff>
      <xdr:row>24</xdr:row>
      <xdr:rowOff>151205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F884C-F9ED-4D27-3B45-7D1744EF5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13</xdr:col>
      <xdr:colOff>190121</xdr:colOff>
      <xdr:row>41</xdr:row>
      <xdr:rowOff>107576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B363F5-19C2-8C42-A6F4-75BF5E7F3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topLeftCell="A8" zoomScale="114" workbookViewId="0">
      <selection activeCell="C24" sqref="C24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2" t="s">
        <v>30</v>
      </c>
      <c r="C1" s="12"/>
      <c r="D1" s="12"/>
      <c r="E1" s="12"/>
      <c r="G1" s="13" t="s">
        <v>31</v>
      </c>
      <c r="H1" s="13"/>
      <c r="I1" s="13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2" t="s">
        <v>13</v>
      </c>
      <c r="K2" s="12"/>
      <c r="M2" s="12" t="s">
        <v>14</v>
      </c>
      <c r="N2" s="12"/>
      <c r="O2" s="12"/>
      <c r="P2" s="12" t="s">
        <v>16</v>
      </c>
      <c r="Q2" s="12"/>
      <c r="R2" s="12"/>
    </row>
    <row r="3" spans="1:18" x14ac:dyDescent="0.2">
      <c r="B3" s="3">
        <v>1E-4</v>
      </c>
      <c r="C3" s="3">
        <v>-2.0000000000000001E-4</v>
      </c>
      <c r="D3" s="3">
        <v>-1E-3</v>
      </c>
      <c r="E3" s="3">
        <v>-2.0000000000000001E-4</v>
      </c>
      <c r="J3" s="4"/>
      <c r="K3" s="6"/>
    </row>
    <row r="4" spans="1:18" x14ac:dyDescent="0.2">
      <c r="A4">
        <v>1</v>
      </c>
      <c r="B4" s="3">
        <v>1.6999999999999999E-3</v>
      </c>
      <c r="C4" s="3">
        <v>0.55349999999999999</v>
      </c>
      <c r="D4" s="3">
        <v>0.13420000000000001</v>
      </c>
      <c r="E4" s="3">
        <v>8.8200000000000001E-2</v>
      </c>
      <c r="G4" s="2">
        <f t="shared" ref="G4:I6" si="0">(C4-$B4)</f>
        <v>0.55179999999999996</v>
      </c>
      <c r="H4" s="2">
        <f t="shared" si="0"/>
        <v>0.13250000000000001</v>
      </c>
      <c r="I4" s="2">
        <f t="shared" si="0"/>
        <v>8.6500000000000007E-2</v>
      </c>
      <c r="J4" s="1">
        <f>(11.85*((ABS(G4)))-(1.54*(ABS(H4))-(0.08*(ABS(I4)))))</f>
        <v>6.3416999999999994</v>
      </c>
      <c r="K4" s="1">
        <f>((12.18*G4)-(2.64*H4))</f>
        <v>6.3711239999999991</v>
      </c>
      <c r="M4" s="9">
        <f t="shared" ref="M4:N6" si="1">J4*1000</f>
        <v>6341.7</v>
      </c>
      <c r="N4" s="9">
        <f t="shared" si="1"/>
        <v>6371.1239999999989</v>
      </c>
      <c r="O4" s="9">
        <f>(G4/(87.67))*1000*1000</f>
        <v>6294.0572601802205</v>
      </c>
    </row>
    <row r="5" spans="1:18" x14ac:dyDescent="0.2">
      <c r="A5">
        <v>2</v>
      </c>
      <c r="B5" s="3">
        <v>1.8E-3</v>
      </c>
      <c r="C5" s="3">
        <v>0.55310000000000004</v>
      </c>
      <c r="D5" s="3">
        <v>0.1348</v>
      </c>
      <c r="E5" s="3">
        <v>8.8099999999999998E-2</v>
      </c>
      <c r="G5" s="2">
        <f t="shared" si="0"/>
        <v>0.55130000000000001</v>
      </c>
      <c r="H5" s="2">
        <f t="shared" si="0"/>
        <v>0.13300000000000001</v>
      </c>
      <c r="I5" s="2">
        <f t="shared" si="0"/>
        <v>8.6300000000000002E-2</v>
      </c>
      <c r="J5" s="1">
        <f>(11.85*((ABS(G5)))-(1.54*(ABS(H5))-(0.08*(ABS(I5)))))</f>
        <v>6.3349889999999993</v>
      </c>
      <c r="K5" s="1">
        <f>((12.18*G5)-(2.64*H5))</f>
        <v>6.3637139999999999</v>
      </c>
      <c r="M5" s="9">
        <f t="shared" si="1"/>
        <v>6334.9889999999996</v>
      </c>
      <c r="N5" s="9">
        <f t="shared" si="1"/>
        <v>6363.7139999999999</v>
      </c>
      <c r="O5" s="9">
        <f>(G5/(87.67))*1000*1000</f>
        <v>6288.3540549788986</v>
      </c>
    </row>
    <row r="6" spans="1:18" x14ac:dyDescent="0.2">
      <c r="A6">
        <v>3</v>
      </c>
      <c r="B6" s="3">
        <v>1.4E-3</v>
      </c>
      <c r="C6" s="3">
        <v>0.55230000000000001</v>
      </c>
      <c r="D6" s="3">
        <v>0.1341</v>
      </c>
      <c r="E6" s="3">
        <v>8.8300000000000003E-2</v>
      </c>
      <c r="G6" s="2">
        <f t="shared" si="0"/>
        <v>0.55090000000000006</v>
      </c>
      <c r="H6" s="2">
        <f t="shared" si="0"/>
        <v>0.13269999999999998</v>
      </c>
      <c r="I6" s="2">
        <f t="shared" si="0"/>
        <v>8.6900000000000005E-2</v>
      </c>
      <c r="J6" s="1">
        <f>(11.85*((ABS(G6)))-(1.54*(ABS(H6))-(0.08*(ABS(I6)))))</f>
        <v>6.3307590000000005</v>
      </c>
      <c r="K6" s="1">
        <f>((12.18*G6)-(2.64*H6))</f>
        <v>6.3596340000000007</v>
      </c>
      <c r="M6" s="9">
        <f t="shared" si="1"/>
        <v>6330.759</v>
      </c>
      <c r="N6" s="9">
        <f t="shared" si="1"/>
        <v>6359.6340000000009</v>
      </c>
      <c r="O6" s="9">
        <f>(G6/(87.67))*1000*1000</f>
        <v>6283.79149081784</v>
      </c>
    </row>
    <row r="7" spans="1:18" x14ac:dyDescent="0.2">
      <c r="G7" s="2"/>
      <c r="H7" s="2"/>
      <c r="I7" s="2"/>
      <c r="J7" s="1"/>
      <c r="K7" s="1"/>
      <c r="M7" s="9">
        <f>AVERAGE(M4:M6)</f>
        <v>6335.8159999999989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B9" s="3" t="s">
        <v>32</v>
      </c>
      <c r="C9" s="3" t="s">
        <v>33</v>
      </c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A10">
        <v>0</v>
      </c>
      <c r="B10" s="3">
        <v>16.48</v>
      </c>
      <c r="C10" s="3">
        <v>352.23077000000001</v>
      </c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A11">
        <v>5</v>
      </c>
      <c r="B11" s="3">
        <v>77.67</v>
      </c>
      <c r="C11" s="3">
        <v>8175.3333300000004</v>
      </c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A12">
        <v>10</v>
      </c>
      <c r="B12" s="3">
        <v>148.05000000000001</v>
      </c>
      <c r="C12" s="3">
        <v>16901.666669999999</v>
      </c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A13">
        <v>20</v>
      </c>
      <c r="B13" s="3">
        <v>285.76</v>
      </c>
      <c r="C13" s="3">
        <v>33434.333330000001</v>
      </c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A14">
        <v>50</v>
      </c>
      <c r="B14" s="3">
        <v>591.1</v>
      </c>
      <c r="C14" s="3">
        <v>73402</v>
      </c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A15">
        <v>100</v>
      </c>
      <c r="B15" s="3">
        <v>1153.95</v>
      </c>
      <c r="C15" s="3">
        <v>142951</v>
      </c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B17" s="3" t="s">
        <v>34</v>
      </c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A18">
        <v>0</v>
      </c>
      <c r="B18" s="3">
        <v>24.1</v>
      </c>
      <c r="G18" s="2"/>
      <c r="H18" s="2"/>
      <c r="I18" s="2"/>
      <c r="J18" s="1"/>
      <c r="K18" s="1"/>
      <c r="M18" s="9"/>
      <c r="N18" s="9"/>
      <c r="O18" s="9"/>
    </row>
    <row r="19" spans="1:18" x14ac:dyDescent="0.2">
      <c r="A19">
        <v>5</v>
      </c>
      <c r="B19" s="3">
        <v>36.950000000000003</v>
      </c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A20">
        <v>10</v>
      </c>
      <c r="B20" s="3">
        <v>65.05</v>
      </c>
      <c r="C20" s="3" t="s">
        <v>35</v>
      </c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A21">
        <v>20</v>
      </c>
      <c r="B21" s="3">
        <v>122.05</v>
      </c>
      <c r="C21" s="3">
        <v>177.19</v>
      </c>
      <c r="G21" s="2"/>
      <c r="H21" s="2"/>
      <c r="I21" s="2"/>
      <c r="J21" s="1"/>
      <c r="K21" s="1"/>
    </row>
    <row r="22" spans="1:18" x14ac:dyDescent="0.2">
      <c r="A22">
        <v>50</v>
      </c>
      <c r="B22" s="3">
        <v>215.86</v>
      </c>
    </row>
    <row r="23" spans="1:18" x14ac:dyDescent="0.2">
      <c r="A23">
        <v>100</v>
      </c>
      <c r="B23" s="3">
        <v>408.95</v>
      </c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6335.8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19</v>
      </c>
      <c r="B32" s="3">
        <f>(30*D32)/B30</f>
        <v>0.47349979481675558</v>
      </c>
      <c r="C32" s="3" t="s">
        <v>18</v>
      </c>
      <c r="D32" s="3">
        <v>100</v>
      </c>
      <c r="E32" s="11">
        <f>30-B32</f>
        <v>29.526500205183243</v>
      </c>
      <c r="F32">
        <f>B32+E32</f>
        <v>30</v>
      </c>
      <c r="G32">
        <f>F32-B33</f>
        <v>20</v>
      </c>
    </row>
    <row r="33" spans="1:7" x14ac:dyDescent="0.2">
      <c r="A33" t="s">
        <v>21</v>
      </c>
      <c r="B33" s="3">
        <f>(F33*D33)/D32</f>
        <v>10</v>
      </c>
      <c r="C33" s="3" t="s">
        <v>19</v>
      </c>
      <c r="D33" s="3">
        <v>50</v>
      </c>
      <c r="E33" s="11">
        <f>F33-B33</f>
        <v>10</v>
      </c>
      <c r="F33">
        <f>20</f>
        <v>20</v>
      </c>
      <c r="G33">
        <f>F33-B34</f>
        <v>12</v>
      </c>
    </row>
    <row r="34" spans="1:7" x14ac:dyDescent="0.2">
      <c r="A34" t="s">
        <v>25</v>
      </c>
      <c r="B34" s="3">
        <f>(F34*D34)/D33</f>
        <v>8</v>
      </c>
      <c r="C34" s="3" t="s">
        <v>21</v>
      </c>
      <c r="D34" s="3">
        <v>20</v>
      </c>
      <c r="E34" s="11">
        <f>F34-B34</f>
        <v>12</v>
      </c>
      <c r="F34">
        <v>20</v>
      </c>
      <c r="G34">
        <f>F34-B35</f>
        <v>10</v>
      </c>
    </row>
    <row r="35" spans="1:7" x14ac:dyDescent="0.2">
      <c r="A35" t="s">
        <v>26</v>
      </c>
      <c r="B35" s="3">
        <f>(F35*D35)/D34</f>
        <v>10</v>
      </c>
      <c r="C35" s="3" t="s">
        <v>25</v>
      </c>
      <c r="D35" s="3">
        <v>10</v>
      </c>
      <c r="E35" s="11">
        <f>F35-B35</f>
        <v>10</v>
      </c>
      <c r="F35">
        <v>20</v>
      </c>
      <c r="G35">
        <f>F35-B36</f>
        <v>10</v>
      </c>
    </row>
    <row r="36" spans="1:7" x14ac:dyDescent="0.2">
      <c r="A36" t="s">
        <v>27</v>
      </c>
      <c r="B36" s="3">
        <f>(F36*D36)/D35</f>
        <v>10</v>
      </c>
      <c r="C36" s="3" t="s">
        <v>26</v>
      </c>
      <c r="D36" s="3">
        <v>5</v>
      </c>
      <c r="E36" s="11">
        <f>F36-B36</f>
        <v>10</v>
      </c>
      <c r="F36">
        <v>20</v>
      </c>
      <c r="G36">
        <f>F36-B37</f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2025-10-08T18:56:59Z</dcterms:modified>
</cp:coreProperties>
</file>
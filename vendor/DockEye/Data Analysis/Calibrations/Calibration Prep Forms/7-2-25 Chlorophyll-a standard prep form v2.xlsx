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Calibration/Calibration Prep Forms/"/>
    </mc:Choice>
  </mc:AlternateContent>
  <xr:revisionPtr revIDLastSave="0" documentId="13_ncr:1_{BA36717F-846F-1D4B-A3E8-9DA81831A45C}" xr6:coauthVersionLast="47" xr6:coauthVersionMax="47" xr10:uidLastSave="{00000000-0000-0000-0000-000000000000}"/>
  <bookViews>
    <workbookView xWindow="0" yWindow="760" windowWidth="29400" windowHeight="1734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I6" i="1"/>
  <c r="I5" i="1"/>
  <c r="I4" i="1"/>
  <c r="H6" i="1"/>
  <c r="H5" i="1"/>
  <c r="H4" i="1"/>
  <c r="G6" i="1"/>
  <c r="G5" i="1"/>
  <c r="O5" i="1" s="1"/>
  <c r="G4" i="1"/>
  <c r="O4" i="1" s="1"/>
  <c r="B34" i="1"/>
  <c r="G33" i="1"/>
  <c r="G34" i="1"/>
  <c r="G38" i="1"/>
  <c r="E34" i="1"/>
  <c r="E36" i="1"/>
  <c r="E37" i="1"/>
  <c r="F33" i="1"/>
  <c r="E33" i="1" s="1"/>
  <c r="B35" i="1"/>
  <c r="E35" i="1" s="1"/>
  <c r="B36" i="1"/>
  <c r="G35" i="1" s="1"/>
  <c r="B37" i="1"/>
  <c r="G36" i="1" s="1"/>
  <c r="B38" i="1"/>
  <c r="E38" i="1" s="1"/>
  <c r="B33" i="1"/>
  <c r="G37" i="1" l="1"/>
  <c r="F32" i="1"/>
  <c r="G32" i="1" s="1"/>
  <c r="K6" i="1"/>
  <c r="N6" i="1" s="1"/>
  <c r="O6" i="1"/>
  <c r="J6" i="1"/>
  <c r="M6" i="1" s="1"/>
  <c r="K5" i="1"/>
  <c r="N5" i="1" s="1"/>
  <c r="J5" i="1"/>
  <c r="M5" i="1" s="1"/>
  <c r="J4" i="1"/>
  <c r="M4" i="1" s="1"/>
  <c r="K4" i="1"/>
  <c r="N4" i="1" s="1"/>
  <c r="M7" i="1" l="1"/>
</calcChain>
</file>

<file path=xl/sharedStrings.xml><?xml version="1.0" encoding="utf-8"?>
<sst xmlns="http://schemas.openxmlformats.org/spreadsheetml/2006/main" count="46" uniqueCount="34">
  <si>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</si>
  <si>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</si>
  <si>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</si>
  <si>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</si>
  <si>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</si>
  <si>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</si>
  <si>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</si>
  <si>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</si>
  <si>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</si>
  <si>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</si>
  <si>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</si>
  <si>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</si>
  <si>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</si>
  <si>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</si>
  <si>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</si>
  <si>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</si>
  <si>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</si>
  <si>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</si>
  <si>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</si>
  <si>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</si>
  <si>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</si>
  <si>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</si>
  <si>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</si>
  <si>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</si>
  <si>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</si>
  <si>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</si>
  <si>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</si>
  <si>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</si>
  <si>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</si>
  <si>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</si>
  <si>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CS7</t>
  </si>
  <si>
    <t>CS6</t>
  </si>
  <si>
    <t>1 cm cell in 90% acetone</t>
  </si>
  <si>
    <t>Baseline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</si>
</sst>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8"/>
  <sheetViews>
    <sheetView tabSelected="1" zoomScale="83" workbookViewId="0">
      <selection activeCell="G14" sqref="G14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2" t="s">
        <v>32</v>
      </c>
      <c r="C1" s="12"/>
      <c r="D1" s="12"/>
      <c r="E1" s="12"/>
      <c r="G1" s="13" t="s">
        <v>33</v>
      </c>
      <c r="H1" s="13"/>
      <c r="I1" s="13"/>
      <c r="J1" s="7" t="s">
        <v>15</v>
      </c>
      <c r="K1" s="6" t="s">
        <v>12</v>
      </c>
      <c r="M1" s="7" t="s">
        <v>15</v>
      </c>
      <c r="N1" s="8" t="s">
        <v>12</v>
      </c>
      <c r="O1" s="3" t="s">
        <v>10</v>
      </c>
      <c r="P1" s="7" t="s">
        <v>15</v>
      </c>
      <c r="Q1" s="8" t="s">
        <v>12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2" t="s">
        <v>13</v>
      </c>
      <c r="K2" s="12"/>
      <c r="M2" s="12" t="s">
        <v>14</v>
      </c>
      <c r="N2" s="12"/>
      <c r="O2" s="12"/>
      <c r="P2" s="12" t="s">
        <v>16</v>
      </c>
      <c r="Q2" s="12"/>
      <c r="R2" s="12"/>
    </row>
    <row r="3" spans="1:18" x14ac:dyDescent="0.2">
      <c r="J3" s="4"/>
      <c r="K3" s="6"/>
    </row>
    <row r="4" spans="1:18" x14ac:dyDescent="0.2">
      <c r="A4">
        <v>1</v>
      </c>
      <c r="B4" s="3">
        <v>8.9999999999999998E-4</v>
      </c>
      <c r="C4" s="3">
        <v>0.5534</v>
      </c>
      <c r="D4" s="3">
        <v>0.1308</v>
      </c>
      <c r="E4" s="3">
        <v>8.6199999999999999E-2</v>
      </c>
      <c r="G4" s="2">
        <f t="shared" ref="G4:I6" si="0">(C4-$B4)</f>
        <v>0.55249999999999999</v>
      </c>
      <c r="H4" s="2">
        <f t="shared" si="0"/>
        <v>0.12989999999999999</v>
      </c>
      <c r="I4" s="2">
        <f t="shared" si="0"/>
        <v>8.5300000000000001E-2</v>
      </c>
      <c r="J4" s="1">
        <f>(11.85*((ABS(G4)))-(1.54*(ABS(H4))-(0.08*(ABS(I4)))))</f>
        <v>6.3539029999999999</v>
      </c>
      <c r="K4" s="1">
        <f>((12.18*G4)-(2.64*H4))</f>
        <v>6.386514</v>
      </c>
      <c r="M4" s="9">
        <f t="shared" ref="M4:N6" si="1">J4*1000</f>
        <v>6353.9030000000002</v>
      </c>
      <c r="N4" s="9">
        <f t="shared" si="1"/>
        <v>6386.5140000000001</v>
      </c>
      <c r="O4" s="9">
        <f>(G4/(87.67))*1000*1000</f>
        <v>6302.0417474620735</v>
      </c>
    </row>
    <row r="5" spans="1:18" x14ac:dyDescent="0.2">
      <c r="A5">
        <v>2</v>
      </c>
      <c r="B5" s="3">
        <v>1.4E-3</v>
      </c>
      <c r="C5" s="3">
        <v>0.5534</v>
      </c>
      <c r="D5" s="3">
        <v>0.13109999999999999</v>
      </c>
      <c r="E5" s="3">
        <v>8.6900000000000005E-2</v>
      </c>
      <c r="G5" s="2">
        <f t="shared" si="0"/>
        <v>0.55200000000000005</v>
      </c>
      <c r="H5" s="2">
        <f t="shared" si="0"/>
        <v>0.12969999999999998</v>
      </c>
      <c r="I5" s="2">
        <f t="shared" si="0"/>
        <v>8.5500000000000007E-2</v>
      </c>
      <c r="J5" s="1">
        <f>(11.85*((ABS(G5)))-(1.54*(ABS(H5))-(0.08*(ABS(I5)))))</f>
        <v>6.3483020000000012</v>
      </c>
      <c r="K5" s="1">
        <f>((12.18*G5)-(2.64*H5))</f>
        <v>6.3809520000000006</v>
      </c>
      <c r="M5" s="9">
        <f t="shared" si="1"/>
        <v>6348.3020000000015</v>
      </c>
      <c r="N5" s="9">
        <f t="shared" si="1"/>
        <v>6380.9520000000002</v>
      </c>
      <c r="O5" s="9">
        <f>(G5/(87.67))*1000*1000</f>
        <v>6296.3385422607516</v>
      </c>
    </row>
    <row r="6" spans="1:18" x14ac:dyDescent="0.2">
      <c r="A6">
        <v>3</v>
      </c>
      <c r="B6" s="3">
        <v>1.2999999999999999E-3</v>
      </c>
      <c r="C6" s="3">
        <v>0.55389999999999995</v>
      </c>
      <c r="D6" s="3">
        <v>0.13159999999999999</v>
      </c>
      <c r="E6" s="3">
        <v>8.6999999999999994E-2</v>
      </c>
      <c r="G6" s="2">
        <f t="shared" si="0"/>
        <v>0.55259999999999998</v>
      </c>
      <c r="H6" s="2">
        <f t="shared" si="0"/>
        <v>0.1303</v>
      </c>
      <c r="I6" s="2">
        <f t="shared" si="0"/>
        <v>8.5699999999999998E-2</v>
      </c>
      <c r="J6" s="1">
        <f>(11.85*((ABS(G6)))-(1.54*(ABS(H6))-(0.08*(ABS(I6)))))</f>
        <v>6.3545039999999995</v>
      </c>
      <c r="K6" s="1">
        <f>((12.18*G6)-(2.64*H6))</f>
        <v>6.3866759999999996</v>
      </c>
      <c r="M6" s="9">
        <f t="shared" si="1"/>
        <v>6354.5039999999999</v>
      </c>
      <c r="N6" s="9">
        <f t="shared" si="1"/>
        <v>6386.6759999999995</v>
      </c>
      <c r="O6" s="9">
        <f>(G6/(87.67))*1000*1000</f>
        <v>6303.1823885023387</v>
      </c>
    </row>
    <row r="7" spans="1:18" x14ac:dyDescent="0.2">
      <c r="G7" s="2"/>
      <c r="H7" s="2"/>
      <c r="I7" s="2"/>
      <c r="J7" s="1"/>
      <c r="K7" s="1"/>
      <c r="M7" s="9">
        <f>AVERAGE(M4:M6)</f>
        <v>6352.2363333333342</v>
      </c>
      <c r="N7" s="9"/>
      <c r="O7" s="9"/>
    </row>
    <row r="8" spans="1:18" x14ac:dyDescent="0.2">
      <c r="G8" s="2"/>
      <c r="H8" s="2"/>
      <c r="I8" s="2"/>
      <c r="J8" s="1"/>
      <c r="K8" s="1"/>
      <c r="M8" s="9"/>
      <c r="N8" s="9"/>
      <c r="O8" s="9"/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11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17</v>
      </c>
    </row>
    <row r="30" spans="1:18" x14ac:dyDescent="0.2">
      <c r="A30" t="s">
        <v>18</v>
      </c>
      <c r="B30" s="3">
        <v>6361.2133333333331</v>
      </c>
    </row>
    <row r="31" spans="1:18" x14ac:dyDescent="0.2">
      <c r="B31" s="3" t="s">
        <v>24</v>
      </c>
      <c r="C31" s="3" t="s">
        <v>20</v>
      </c>
      <c r="D31" s="3" t="s">
        <v>29</v>
      </c>
      <c r="E31" s="3" t="s">
        <v>22</v>
      </c>
      <c r="F31" s="3" t="s">
        <v>23</v>
      </c>
      <c r="G31" s="3" t="s">
        <v>28</v>
      </c>
    </row>
    <row r="32" spans="1:18" x14ac:dyDescent="0.2">
      <c r="A32" t="s">
        <v>30</v>
      </c>
      <c r="B32" s="11">
        <f>(30*D32)/B30</f>
        <v>4.7160814184296083</v>
      </c>
      <c r="C32" s="3" t="s">
        <v>18</v>
      </c>
      <c r="D32" s="3">
        <v>1000</v>
      </c>
      <c r="E32" s="3">
        <f>30-B32</f>
        <v>25.28391858157039</v>
      </c>
      <c r="F32">
        <f>B32+E32</f>
        <v>30</v>
      </c>
      <c r="G32">
        <f>F32-B33</f>
        <v>20</v>
      </c>
    </row>
    <row r="33" spans="1:7" x14ac:dyDescent="0.2">
      <c r="A33" t="s">
        <v>31</v>
      </c>
      <c r="B33" s="11">
        <f t="shared" ref="B33:B38" si="2">(F33*D33)/D32</f>
        <v>10</v>
      </c>
      <c r="C33" s="3" t="s">
        <v>30</v>
      </c>
      <c r="D33" s="3">
        <v>500</v>
      </c>
      <c r="E33" s="3">
        <f t="shared" ref="E33:E38" si="3">F33-B33</f>
        <v>10</v>
      </c>
      <c r="F33">
        <f>20</f>
        <v>20</v>
      </c>
      <c r="G33">
        <f t="shared" ref="G33:G38" si="4">F33-B34</f>
        <v>16</v>
      </c>
    </row>
    <row r="34" spans="1:7" x14ac:dyDescent="0.2">
      <c r="A34" t="s">
        <v>19</v>
      </c>
      <c r="B34" s="11">
        <f t="shared" si="2"/>
        <v>4</v>
      </c>
      <c r="C34" s="3" t="s">
        <v>31</v>
      </c>
      <c r="D34" s="3">
        <v>100</v>
      </c>
      <c r="E34" s="3">
        <f t="shared" si="3"/>
        <v>16</v>
      </c>
      <c r="F34">
        <v>20</v>
      </c>
      <c r="G34">
        <f t="shared" si="4"/>
        <v>10</v>
      </c>
    </row>
    <row r="35" spans="1:7" x14ac:dyDescent="0.2">
      <c r="A35" t="s">
        <v>21</v>
      </c>
      <c r="B35" s="11">
        <f t="shared" si="2"/>
        <v>10</v>
      </c>
      <c r="C35" s="3" t="s">
        <v>19</v>
      </c>
      <c r="D35" s="3">
        <v>50</v>
      </c>
      <c r="E35" s="3">
        <f t="shared" si="3"/>
        <v>10</v>
      </c>
      <c r="F35">
        <v>20</v>
      </c>
      <c r="G35">
        <f t="shared" si="4"/>
        <v>12</v>
      </c>
    </row>
    <row r="36" spans="1:7" x14ac:dyDescent="0.2">
      <c r="A36" t="s">
        <v>25</v>
      </c>
      <c r="B36" s="11">
        <f t="shared" si="2"/>
        <v>8</v>
      </c>
      <c r="C36" s="3" t="s">
        <v>21</v>
      </c>
      <c r="D36" s="3">
        <v>20</v>
      </c>
      <c r="E36" s="3">
        <f t="shared" si="3"/>
        <v>12</v>
      </c>
      <c r="F36">
        <v>20</v>
      </c>
      <c r="G36">
        <f t="shared" si="4"/>
        <v>10</v>
      </c>
    </row>
    <row r="37" spans="1:7" x14ac:dyDescent="0.2">
      <c r="A37" t="s">
        <v>26</v>
      </c>
      <c r="B37" s="11">
        <f t="shared" si="2"/>
        <v>10</v>
      </c>
      <c r="C37" s="3" t="s">
        <v>25</v>
      </c>
      <c r="D37" s="3">
        <v>10</v>
      </c>
      <c r="E37" s="3">
        <f t="shared" si="3"/>
        <v>10</v>
      </c>
      <c r="F37">
        <v>20</v>
      </c>
      <c r="G37">
        <f t="shared" si="4"/>
        <v>10</v>
      </c>
    </row>
    <row r="38" spans="1:7" x14ac:dyDescent="0.2">
      <c r="A38" t="s">
        <v>27</v>
      </c>
      <c r="B38" s="11">
        <f t="shared" si="2"/>
        <v>10</v>
      </c>
      <c r="C38" s="3" t="s">
        <v>26</v>
      </c>
      <c r="D38" s="3">
        <v>5</v>
      </c>
      <c r="E38" s="3">
        <f t="shared" si="3"/>
        <v>10</v>
      </c>
      <c r="F38">
        <v>20</v>
      </c>
      <c r="G38">
        <f t="shared" si="4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2025-08-01T17:06:57Z</dcterms:modified>
</cp:coreProperties>
</file>
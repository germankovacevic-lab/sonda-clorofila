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esktop/PhD/Chlorophyll/Calibration/Calibration Prep Forms/"/>
    </mc:Choice>
  </mc:AlternateContent>
  <xr:revisionPtr revIDLastSave="0" documentId="8_{8D097648-399E-1D4D-9160-6089C167CCDB}" xr6:coauthVersionLast="47" xr6:coauthVersionMax="47" xr10:uidLastSave="{00000000-0000-0000-0000-000000000000}"/>
  <bookViews>
    <workbookView xWindow="0" yWindow="760" windowWidth="29400" windowHeight="17160" xr2:uid="{ECA17FA2-AC6E-E14D-88B2-02E1E94CCFE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E32" i="1" s="1"/>
  <c r="I6" i="1"/>
  <c r="I5" i="1"/>
  <c r="I4" i="1"/>
  <c r="H6" i="1"/>
  <c r="H5" i="1"/>
  <c r="H4" i="1"/>
  <c r="G6" i="1"/>
  <c r="G5" i="1"/>
  <c r="O5" i="1" s="1"/>
  <c r="G4" i="1"/>
  <c r="O4" i="1" s="1"/>
  <c r="B34" i="1"/>
  <c r="G33" i="1" s="1"/>
  <c r="F33" i="1"/>
  <c r="E33" i="1" s="1"/>
  <c r="B35" i="1"/>
  <c r="E35" i="1" s="1"/>
  <c r="B36" i="1"/>
  <c r="G35" i="1" s="1"/>
  <c r="G36" i="1"/>
  <c r="B33" i="1"/>
  <c r="E36" i="1" l="1"/>
  <c r="G34" i="1"/>
  <c r="E34" i="1"/>
  <c r="F32" i="1"/>
  <c r="G32" i="1" s="1"/>
  <c r="K6" i="1"/>
  <c r="N6" i="1" s="1"/>
  <c r="O6" i="1"/>
  <c r="J6" i="1"/>
  <c r="M6" i="1" s="1"/>
  <c r="K5" i="1"/>
  <c r="N5" i="1" s="1"/>
  <c r="J5" i="1"/>
  <c r="M5" i="1" s="1"/>
  <c r="J4" i="1"/>
  <c r="M4" i="1" s="1"/>
  <c r="K4" i="1"/>
  <c r="N4" i="1" s="1"/>
  <c r="M7" i="1" l="1"/>
</calcChain>
</file>

<file path=xl/sharedStrings.xml><?xml version="1.0" encoding="utf-8"?>
<sst xmlns="http://schemas.openxmlformats.org/spreadsheetml/2006/main" count="44" uniqueCount="34">
  <si>
    <t>750nm</t>
  </si>
  <si>
    <t>664nm</t>
  </si>
  <si>
    <t xml:space="preserve">647nm </t>
  </si>
  <si>
    <t>630nm</t>
  </si>
  <si>
    <t>664nm (corr)</t>
  </si>
  <si>
    <t>647nm(corr)</t>
  </si>
  <si>
    <t>630nm(corr)</t>
  </si>
  <si>
    <t>extinction coefficient for chl a in 90% acetone at 664 nm</t>
  </si>
  <si>
    <t>(87.67 L g-1 cm-1 )</t>
  </si>
  <si>
    <t>l = cuvette path length (cm)</t>
  </si>
  <si>
    <t xml:space="preserve">JGOFS </t>
  </si>
  <si>
    <t>JGOFS</t>
  </si>
  <si>
    <t>Chazaux,  Schiphorst, Lazzari and Caffarri 2022 doi: 10.1111/tpj.15643</t>
  </si>
  <si>
    <t>Chl a mg/L</t>
  </si>
  <si>
    <t>Chl a µg/L</t>
  </si>
  <si>
    <t>Jeffrey  and  Humphrey's  Trichromatic EPA methods</t>
  </si>
  <si>
    <t>Average conc. µg/L</t>
  </si>
  <si>
    <t>Stock solution conc (ug/l)</t>
  </si>
  <si>
    <t>Intermediate</t>
  </si>
  <si>
    <t>CS5</t>
  </si>
  <si>
    <t>Spike</t>
  </si>
  <si>
    <t>CS4</t>
  </si>
  <si>
    <t>Volume 90% (mL)</t>
  </si>
  <si>
    <t>Final Volume (mL)</t>
  </si>
  <si>
    <t>Spiking solution to add (mL)</t>
  </si>
  <si>
    <t>CS3</t>
  </si>
  <si>
    <t>CS2</t>
  </si>
  <si>
    <t>CS1</t>
  </si>
  <si>
    <t>Volume after prep (mL)</t>
  </si>
  <si>
    <t>Final Concentration (ug/L)</t>
  </si>
  <si>
    <t>1 cm cell in 90% acetone</t>
  </si>
  <si>
    <t>Baseline corrected</t>
  </si>
  <si>
    <t>DockEye</t>
  </si>
  <si>
    <t>Horiba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</si>
</sst>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DockEye</a:t>
            </a:r>
            <a:r>
              <a:rPr lang="en-US" baseline="0"/>
              <a:t> Calibration 8-14-25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Sheet1!$A$10:$A$15</c:f>
              <c:numCache>
                <c:formatCode>General</c:formatCode>
                <c:ptCount val="6"/>
              </c:numCache>
            </c:numRef>
          </c:xVal>
          <c:yVal>
            <c:numRef>
              <c:f>Sheet1!$B$10:$B$15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AE-FB44-B614-42786572A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821679"/>
        <c:axId val="396162159"/>
      </c:scatterChart>
      <c:valAx>
        <c:axId val="16398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62159"/>
        <c:crosses val="autoZero"/>
        <c:crossBetween val="midCat"/>
      </c:valAx>
      <c:valAx>
        <c:axId val="3961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2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Horiba Calibration 8-14-25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Sheet1!$A$10:$A$15</c:f>
              <c:numCache>
                <c:formatCode>General</c:formatCode>
                <c:ptCount val="6"/>
              </c:numCache>
            </c:numRef>
          </c:xVal>
          <c:yVal>
            <c:numRef>
              <c:f>Sheet1!$C$10:$C$15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50-6B4A-9E88-8CA335912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708575"/>
        <c:axId val="760428895"/>
      </c:scatterChart>
      <c:valAx>
        <c:axId val="130970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428895"/>
        <c:crosses val="autoZero"/>
        <c:crossBetween val="midCat"/>
      </c:valAx>
      <c:valAx>
        <c:axId val="7604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0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DockEye</a:t>
            </a:r>
            <a:r>
              <a:rPr lang="en-US" baseline="0"/>
              <a:t> Calibration 10-4-25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Sheet1!$A$18:$A$23</c:f>
              <c:numCache>
                <c:formatCode>General</c:formatCode>
                <c:ptCount val="6"/>
              </c:numCache>
            </c:numRef>
          </c:xVal>
          <c:yVal>
            <c:numRef>
              <c:f>Sheet1!$B$18:$B$23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B1-0E40-98B8-B2FAF1C76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821679"/>
        <c:axId val="396162159"/>
      </c:scatterChart>
      <c:valAx>
        <c:axId val="16398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62159"/>
        <c:crosses val="autoZero"/>
        <c:crossBetween val="midCat"/>
      </c:valAx>
      <c:valAx>
        <c:axId val="3961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2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1493</xdr:colOff>
      <xdr:row>11</xdr:row>
      <xdr:rowOff>33468</xdr:rowOff>
    </xdr:from>
    <xdr:to>
      <xdr:col>12</xdr:col>
      <xdr:colOff>381000</xdr:colOff>
      <xdr:row>24</xdr:row>
      <xdr:rowOff>141044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AD8C0-59FC-4D39-8141-D05795409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579120</xdr:colOff>
      <xdr:row>11</xdr:row>
      <xdr:rowOff>43629</xdr:rowOff>
    </xdr:from>
    <xdr:to>
      <xdr:col>6</xdr:col>
      <xdr:colOff>1088315</xdr:colOff>
      <xdr:row>24</xdr:row>
      <xdr:rowOff>151205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0F884C-F9ED-4D27-3B45-7D1744EF5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13</xdr:col>
      <xdr:colOff>190121</xdr:colOff>
      <xdr:row>41</xdr:row>
      <xdr:rowOff>107576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B363F5-19C2-8C42-A6F4-75BF5E7F3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31C-5F88-3748-9320-1F24DD98C480}">
  <dimension ref="A1:R36"/>
  <sheetViews>
    <sheetView tabSelected="1" topLeftCell="A20" zoomScale="114" workbookViewId="0">
      <selection activeCell="D50" sqref="D50"/>
    </sheetView>
  </sheetViews>
  <sheetFormatPr baseColWidth="10" defaultColWidth="11" defaultRowHeight="16" x14ac:dyDescent="0.2"/>
  <cols>
    <col min="2" max="2" width="46.83203125" style="3" bestFit="1" customWidth="1"/>
    <col min="3" max="3" width="12.33203125" style="3" bestFit="1" customWidth="1"/>
    <col min="4" max="4" width="22.6640625" style="3" bestFit="1" customWidth="1"/>
    <col min="5" max="5" width="15" style="3" bestFit="1" customWidth="1"/>
    <col min="6" max="6" width="15.5" bestFit="1" customWidth="1"/>
    <col min="7" max="7" width="19.5" bestFit="1" customWidth="1"/>
    <col min="10" max="10" width="11.1640625" bestFit="1" customWidth="1"/>
    <col min="13" max="13" width="13.5" style="3" bestFit="1" customWidth="1"/>
    <col min="14" max="14" width="12.33203125" style="3" bestFit="1" customWidth="1"/>
    <col min="15" max="15" width="11.83203125" style="3" bestFit="1" customWidth="1"/>
    <col min="16" max="16" width="12.33203125" style="3" bestFit="1" customWidth="1"/>
    <col min="17" max="18" width="11" style="3"/>
  </cols>
  <sheetData>
    <row r="1" spans="1:18" ht="136" x14ac:dyDescent="0.2">
      <c r="B1" s="11" t="s">
        <v>30</v>
      </c>
      <c r="C1" s="11"/>
      <c r="D1" s="11"/>
      <c r="E1" s="11"/>
      <c r="G1" s="12" t="s">
        <v>31</v>
      </c>
      <c r="H1" s="12"/>
      <c r="I1" s="12"/>
      <c r="J1" s="7" t="s">
        <v>15</v>
      </c>
      <c r="K1" s="6" t="s">
        <v>12</v>
      </c>
      <c r="M1" s="7" t="s">
        <v>15</v>
      </c>
      <c r="N1" s="8" t="s">
        <v>12</v>
      </c>
      <c r="O1" s="3" t="s">
        <v>10</v>
      </c>
      <c r="P1" s="7" t="s">
        <v>15</v>
      </c>
      <c r="Q1" s="8" t="s">
        <v>12</v>
      </c>
      <c r="R1" s="3" t="s">
        <v>10</v>
      </c>
    </row>
    <row r="2" spans="1:18" x14ac:dyDescent="0.2">
      <c r="B2" s="3" t="s">
        <v>0</v>
      </c>
      <c r="C2" s="3" t="s">
        <v>1</v>
      </c>
      <c r="D2" s="3" t="s">
        <v>2</v>
      </c>
      <c r="E2" s="3" t="s">
        <v>3</v>
      </c>
      <c r="G2" t="s">
        <v>4</v>
      </c>
      <c r="H2" t="s">
        <v>5</v>
      </c>
      <c r="I2" t="s">
        <v>6</v>
      </c>
      <c r="J2" s="11" t="s">
        <v>13</v>
      </c>
      <c r="K2" s="11"/>
      <c r="M2" s="11" t="s">
        <v>14</v>
      </c>
      <c r="N2" s="11"/>
      <c r="O2" s="11"/>
      <c r="P2" s="11" t="s">
        <v>16</v>
      </c>
      <c r="Q2" s="11"/>
      <c r="R2" s="11"/>
    </row>
    <row r="3" spans="1:18" x14ac:dyDescent="0.2">
      <c r="B3" s="3">
        <v>1E-4</v>
      </c>
      <c r="C3" s="3">
        <v>-2.0000000000000001E-4</v>
      </c>
      <c r="D3" s="3">
        <v>-1E-3</v>
      </c>
      <c r="E3" s="3">
        <v>-2.0000000000000001E-4</v>
      </c>
      <c r="J3" s="4"/>
      <c r="K3" s="6"/>
    </row>
    <row r="4" spans="1:18" x14ac:dyDescent="0.2">
      <c r="A4">
        <v>1</v>
      </c>
      <c r="B4" s="3">
        <v>1.6999999999999999E-3</v>
      </c>
      <c r="C4" s="3">
        <v>0.55349999999999999</v>
      </c>
      <c r="D4" s="3">
        <v>0.13420000000000001</v>
      </c>
      <c r="E4" s="3">
        <v>8.8200000000000001E-2</v>
      </c>
      <c r="G4" s="2">
        <f t="shared" ref="G4:I6" si="0">(C4-$B4)</f>
        <v>0.55179999999999996</v>
      </c>
      <c r="H4" s="2">
        <f t="shared" si="0"/>
        <v>0.13250000000000001</v>
      </c>
      <c r="I4" s="2">
        <f t="shared" si="0"/>
        <v>8.6500000000000007E-2</v>
      </c>
      <c r="J4" s="1">
        <f>(11.85*((ABS(G4)))-(1.54*(ABS(H4))-(0.08*(ABS(I4)))))</f>
        <v>6.3416999999999994</v>
      </c>
      <c r="K4" s="1">
        <f>((12.18*G4)-(2.64*H4))</f>
        <v>6.3711239999999991</v>
      </c>
      <c r="M4" s="9">
        <f t="shared" ref="M4:N6" si="1">J4*1000</f>
        <v>6341.7</v>
      </c>
      <c r="N4" s="9">
        <f t="shared" si="1"/>
        <v>6371.1239999999989</v>
      </c>
      <c r="O4" s="9">
        <f>(G4/(87.67))*1000*1000</f>
        <v>6294.0572601802205</v>
      </c>
    </row>
    <row r="5" spans="1:18" x14ac:dyDescent="0.2">
      <c r="A5">
        <v>2</v>
      </c>
      <c r="B5" s="3">
        <v>1.8E-3</v>
      </c>
      <c r="C5" s="3">
        <v>0.55310000000000004</v>
      </c>
      <c r="D5" s="3">
        <v>0.1348</v>
      </c>
      <c r="E5" s="3">
        <v>8.8099999999999998E-2</v>
      </c>
      <c r="G5" s="2">
        <f t="shared" si="0"/>
        <v>0.55130000000000001</v>
      </c>
      <c r="H5" s="2">
        <f t="shared" si="0"/>
        <v>0.13300000000000001</v>
      </c>
      <c r="I5" s="2">
        <f t="shared" si="0"/>
        <v>8.6300000000000002E-2</v>
      </c>
      <c r="J5" s="1">
        <f>(11.85*((ABS(G5)))-(1.54*(ABS(H5))-(0.08*(ABS(I5)))))</f>
        <v>6.3349889999999993</v>
      </c>
      <c r="K5" s="1">
        <f>((12.18*G5)-(2.64*H5))</f>
        <v>6.3637139999999999</v>
      </c>
      <c r="M5" s="9">
        <f t="shared" si="1"/>
        <v>6334.9889999999996</v>
      </c>
      <c r="N5" s="9">
        <f t="shared" si="1"/>
        <v>6363.7139999999999</v>
      </c>
      <c r="O5" s="9">
        <f>(G5/(87.67))*1000*1000</f>
        <v>6288.3540549788986</v>
      </c>
    </row>
    <row r="6" spans="1:18" x14ac:dyDescent="0.2">
      <c r="A6">
        <v>3</v>
      </c>
      <c r="B6" s="3">
        <v>1.4E-3</v>
      </c>
      <c r="C6" s="3">
        <v>0.55230000000000001</v>
      </c>
      <c r="D6" s="3">
        <v>0.1341</v>
      </c>
      <c r="E6" s="3">
        <v>8.8300000000000003E-2</v>
      </c>
      <c r="G6" s="2">
        <f t="shared" si="0"/>
        <v>0.55090000000000006</v>
      </c>
      <c r="H6" s="2">
        <f t="shared" si="0"/>
        <v>0.13269999999999998</v>
      </c>
      <c r="I6" s="2">
        <f t="shared" si="0"/>
        <v>8.6900000000000005E-2</v>
      </c>
      <c r="J6" s="1">
        <f>(11.85*((ABS(G6)))-(1.54*(ABS(H6))-(0.08*(ABS(I6)))))</f>
        <v>6.3307590000000005</v>
      </c>
      <c r="K6" s="1">
        <f>((12.18*G6)-(2.64*H6))</f>
        <v>6.3596340000000007</v>
      </c>
      <c r="M6" s="9">
        <f t="shared" si="1"/>
        <v>6330.759</v>
      </c>
      <c r="N6" s="9">
        <f t="shared" si="1"/>
        <v>6359.6340000000009</v>
      </c>
      <c r="O6" s="9">
        <f>(G6/(87.67))*1000*1000</f>
        <v>6283.79149081784</v>
      </c>
    </row>
    <row r="7" spans="1:18" x14ac:dyDescent="0.2">
      <c r="G7" s="2"/>
      <c r="H7" s="2"/>
      <c r="I7" s="2"/>
      <c r="J7" s="1"/>
      <c r="K7" s="1"/>
      <c r="M7" s="9">
        <f>AVERAGE(M4:M6)</f>
        <v>6335.8159999999989</v>
      </c>
      <c r="N7" s="9"/>
      <c r="O7" s="9"/>
    </row>
    <row r="8" spans="1:18" x14ac:dyDescent="0.2">
      <c r="G8" s="2"/>
      <c r="H8" s="2"/>
      <c r="I8" s="2"/>
      <c r="J8" s="1"/>
      <c r="K8" s="1"/>
      <c r="M8" s="9"/>
      <c r="N8" s="9"/>
      <c r="O8" s="9"/>
    </row>
    <row r="9" spans="1:18" x14ac:dyDescent="0.2">
      <c r="B9" s="3" t="s">
        <v>32</v>
      </c>
      <c r="C9" s="3" t="s">
        <v>33</v>
      </c>
      <c r="G9" s="2"/>
      <c r="H9" s="2"/>
      <c r="I9" s="2"/>
      <c r="J9" s="1"/>
      <c r="K9" s="1"/>
      <c r="M9" s="9"/>
      <c r="N9" s="9"/>
      <c r="O9" s="9"/>
      <c r="P9" s="9"/>
      <c r="Q9" s="9"/>
      <c r="R9" s="9"/>
    </row>
    <row r="10" spans="1:18" x14ac:dyDescent="0.2">
      <c r="G10" s="2"/>
      <c r="H10" s="2"/>
      <c r="I10" s="2"/>
      <c r="J10" s="1"/>
      <c r="K10" s="1"/>
      <c r="M10" s="9"/>
      <c r="N10" s="9"/>
      <c r="O10" s="9"/>
      <c r="P10" s="9"/>
      <c r="Q10" s="9"/>
      <c r="R10" s="9"/>
    </row>
    <row r="11" spans="1:18" x14ac:dyDescent="0.2">
      <c r="G11" s="2"/>
      <c r="H11" s="2"/>
      <c r="I11" s="2"/>
      <c r="J11" s="1"/>
      <c r="K11" s="1"/>
      <c r="M11" s="9"/>
      <c r="N11" s="9"/>
      <c r="O11" s="9"/>
      <c r="P11" s="9"/>
      <c r="Q11" s="9"/>
      <c r="R11" s="9"/>
    </row>
    <row r="12" spans="1:18" x14ac:dyDescent="0.2">
      <c r="G12" s="2"/>
      <c r="H12" s="2"/>
      <c r="I12" s="2"/>
      <c r="J12" s="1"/>
      <c r="K12" s="1"/>
      <c r="M12" s="9"/>
      <c r="N12" s="9"/>
      <c r="O12" s="9"/>
      <c r="P12" s="9"/>
      <c r="Q12" s="9"/>
      <c r="R12" s="9"/>
    </row>
    <row r="13" spans="1:18" x14ac:dyDescent="0.2">
      <c r="G13" s="2"/>
      <c r="H13" s="2"/>
      <c r="I13" s="2"/>
      <c r="J13" s="1"/>
      <c r="K13" s="1"/>
      <c r="M13" s="9"/>
      <c r="N13" s="9"/>
      <c r="O13" s="9"/>
      <c r="P13" s="9"/>
      <c r="Q13" s="9"/>
      <c r="R13" s="9"/>
    </row>
    <row r="14" spans="1:18" x14ac:dyDescent="0.2">
      <c r="G14" s="2"/>
      <c r="H14" s="2"/>
      <c r="I14" s="2"/>
      <c r="J14" s="1"/>
      <c r="K14" s="1"/>
      <c r="M14" s="9"/>
      <c r="N14" s="9"/>
      <c r="O14" s="9"/>
      <c r="P14" s="9"/>
      <c r="Q14" s="9"/>
      <c r="R14" s="9"/>
    </row>
    <row r="15" spans="1:18" x14ac:dyDescent="0.2">
      <c r="G15" s="2"/>
      <c r="H15" s="2"/>
      <c r="I15" s="2"/>
      <c r="J15" s="1"/>
      <c r="K15" s="1"/>
      <c r="M15" s="9"/>
      <c r="N15" s="9"/>
      <c r="O15" s="9"/>
      <c r="P15" s="9"/>
      <c r="Q15" s="9"/>
      <c r="R15" s="9"/>
    </row>
    <row r="16" spans="1:18" x14ac:dyDescent="0.2">
      <c r="G16" s="2"/>
      <c r="H16" s="2"/>
      <c r="I16" s="2"/>
      <c r="J16" s="1"/>
      <c r="K16" s="1"/>
      <c r="M16" s="9"/>
      <c r="N16" s="9"/>
      <c r="O16" s="9"/>
      <c r="P16" s="9"/>
      <c r="Q16" s="9"/>
      <c r="R16" s="9"/>
    </row>
    <row r="17" spans="1:18" x14ac:dyDescent="0.2">
      <c r="G17" s="2"/>
      <c r="H17" s="2"/>
      <c r="I17" s="2"/>
      <c r="J17" s="1"/>
      <c r="K17" s="1"/>
      <c r="M17" s="9"/>
      <c r="N17" s="9"/>
      <c r="O17" s="9"/>
      <c r="P17" s="9"/>
      <c r="Q17" s="9"/>
      <c r="R17" s="9"/>
    </row>
    <row r="18" spans="1:18" x14ac:dyDescent="0.2">
      <c r="G18" s="2"/>
      <c r="H18" s="2"/>
      <c r="I18" s="2"/>
      <c r="J18" s="1"/>
      <c r="K18" s="1"/>
      <c r="M18" s="9"/>
      <c r="N18" s="9"/>
      <c r="O18" s="9"/>
    </row>
    <row r="19" spans="1:18" x14ac:dyDescent="0.2">
      <c r="G19" s="2"/>
      <c r="H19" s="2"/>
      <c r="I19" s="2"/>
      <c r="J19" s="1"/>
      <c r="K19" s="1"/>
      <c r="M19" s="9"/>
      <c r="N19" s="9"/>
      <c r="O19" s="9"/>
      <c r="P19" s="9"/>
      <c r="Q19" s="9"/>
      <c r="R19" s="9"/>
    </row>
    <row r="20" spans="1:18" x14ac:dyDescent="0.2">
      <c r="G20" s="2"/>
      <c r="H20" s="2"/>
      <c r="I20" s="2"/>
      <c r="J20" s="1"/>
      <c r="K20" s="1"/>
      <c r="M20" s="9"/>
      <c r="N20" s="9"/>
      <c r="O20" s="9"/>
      <c r="P20" s="9"/>
      <c r="Q20" s="9"/>
      <c r="R20" s="9"/>
    </row>
    <row r="21" spans="1:18" x14ac:dyDescent="0.2">
      <c r="G21" s="2"/>
      <c r="H21" s="2"/>
      <c r="I21" s="2"/>
      <c r="J21" s="1"/>
      <c r="K21" s="1"/>
    </row>
    <row r="24" spans="1:18" x14ac:dyDescent="0.2">
      <c r="N24" s="10"/>
    </row>
    <row r="26" spans="1:18" x14ac:dyDescent="0.2">
      <c r="A26" t="s">
        <v>11</v>
      </c>
      <c r="B26" s="3" t="s">
        <v>7</v>
      </c>
    </row>
    <row r="27" spans="1:18" x14ac:dyDescent="0.2">
      <c r="B27" s="3" t="s">
        <v>8</v>
      </c>
      <c r="G27" s="5"/>
    </row>
    <row r="28" spans="1:18" x14ac:dyDescent="0.2">
      <c r="B28" s="3" t="s">
        <v>9</v>
      </c>
    </row>
    <row r="29" spans="1:18" x14ac:dyDescent="0.2">
      <c r="B29" s="3" t="s">
        <v>17</v>
      </c>
    </row>
    <row r="30" spans="1:18" x14ac:dyDescent="0.2">
      <c r="A30" t="s">
        <v>18</v>
      </c>
      <c r="B30" s="3">
        <v>6335.8</v>
      </c>
    </row>
    <row r="31" spans="1:18" x14ac:dyDescent="0.2">
      <c r="B31" s="3" t="s">
        <v>24</v>
      </c>
      <c r="C31" s="3" t="s">
        <v>20</v>
      </c>
      <c r="D31" s="3" t="s">
        <v>29</v>
      </c>
      <c r="E31" s="3" t="s">
        <v>22</v>
      </c>
      <c r="F31" s="3" t="s">
        <v>23</v>
      </c>
      <c r="G31" s="3" t="s">
        <v>28</v>
      </c>
    </row>
    <row r="32" spans="1:18" x14ac:dyDescent="0.2">
      <c r="A32" t="s">
        <v>19</v>
      </c>
      <c r="B32" s="3">
        <f>(30*D32)/B30</f>
        <v>0.47349979481675558</v>
      </c>
      <c r="C32" s="3" t="s">
        <v>18</v>
      </c>
      <c r="D32" s="3">
        <v>100</v>
      </c>
      <c r="E32" s="3">
        <f>30-B32</f>
        <v>29.526500205183243</v>
      </c>
      <c r="F32">
        <f>B32+E32</f>
        <v>30</v>
      </c>
      <c r="G32">
        <f>F32-B33</f>
        <v>20</v>
      </c>
    </row>
    <row r="33" spans="1:7" x14ac:dyDescent="0.2">
      <c r="A33" t="s">
        <v>21</v>
      </c>
      <c r="B33" s="3">
        <f>(F33*D33)/D32</f>
        <v>10</v>
      </c>
      <c r="C33" s="3" t="s">
        <v>19</v>
      </c>
      <c r="D33" s="3">
        <v>50</v>
      </c>
      <c r="E33" s="3">
        <f>F33-B33</f>
        <v>10</v>
      </c>
      <c r="F33">
        <f>20</f>
        <v>20</v>
      </c>
      <c r="G33">
        <f>F33-B34</f>
        <v>12</v>
      </c>
    </row>
    <row r="34" spans="1:7" x14ac:dyDescent="0.2">
      <c r="A34" t="s">
        <v>25</v>
      </c>
      <c r="B34" s="3">
        <f>(F34*D34)/D33</f>
        <v>8</v>
      </c>
      <c r="C34" s="3" t="s">
        <v>21</v>
      </c>
      <c r="D34" s="3">
        <v>20</v>
      </c>
      <c r="E34" s="3">
        <f>F34-B34</f>
        <v>12</v>
      </c>
      <c r="F34">
        <v>20</v>
      </c>
      <c r="G34">
        <f>F34-B35</f>
        <v>10</v>
      </c>
    </row>
    <row r="35" spans="1:7" x14ac:dyDescent="0.2">
      <c r="A35" t="s">
        <v>26</v>
      </c>
      <c r="B35" s="3">
        <f>(F35*D35)/D34</f>
        <v>10</v>
      </c>
      <c r="C35" s="3" t="s">
        <v>25</v>
      </c>
      <c r="D35" s="3">
        <v>10</v>
      </c>
      <c r="E35" s="3">
        <f>F35-B35</f>
        <v>10</v>
      </c>
      <c r="F35">
        <v>20</v>
      </c>
      <c r="G35">
        <f>F35-B36</f>
        <v>10</v>
      </c>
    </row>
    <row r="36" spans="1:7" x14ac:dyDescent="0.2">
      <c r="A36" t="s">
        <v>27</v>
      </c>
      <c r="B36" s="3">
        <f>(F36*D36)/D35</f>
        <v>10</v>
      </c>
      <c r="C36" s="3" t="s">
        <v>26</v>
      </c>
      <c r="D36" s="3">
        <v>5</v>
      </c>
      <c r="E36" s="3">
        <f>F36-B36</f>
        <v>10</v>
      </c>
      <c r="F36">
        <v>20</v>
      </c>
      <c r="G36">
        <f>F36-B37</f>
        <v>20</v>
      </c>
    </row>
  </sheetData>
  <mergeCells count="5">
    <mergeCell ref="B1:E1"/>
    <mergeCell ref="G1:I1"/>
    <mergeCell ref="J2:K2"/>
    <mergeCell ref="M2:O2"/>
    <mergeCell ref="P2:R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2024-11-07T20:12:50Z</dcterms:created>
  <dcterms:modified xsi:type="dcterms:W3CDTF">2025-12-05T15:25:48Z</dcterms:modified>
</cp:coreProperties>
</file>
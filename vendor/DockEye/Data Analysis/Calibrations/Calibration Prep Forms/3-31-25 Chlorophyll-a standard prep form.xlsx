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ocuments/chl a data/"/>
    </mc:Choice>
  </mc:AlternateContent>
  <xr:revisionPtr revIDLastSave="0" documentId="8_{BAA7C40D-8395-8D4E-8DE7-114BE3B8CFDA}" xr6:coauthVersionLast="47" xr6:coauthVersionMax="47" xr10:uidLastSave="{00000000-0000-0000-0000-000000000000}"/>
  <bookViews>
    <workbookView xWindow="0" yWindow="760" windowWidth="25600" windowHeight="15980" xr2:uid="{ECA17FA2-AC6E-E14D-88B2-02E1E94CC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J8" i="1"/>
  <c r="M8" i="1" s="1"/>
  <c r="H8" i="1"/>
  <c r="K8" i="1" s="1"/>
  <c r="N8" i="1" s="1"/>
  <c r="G8" i="1"/>
  <c r="O8" i="1" s="1"/>
  <c r="B32" i="1"/>
  <c r="B36" i="1"/>
  <c r="B35" i="1"/>
  <c r="B34" i="1"/>
  <c r="B33" i="1"/>
  <c r="F33" i="1"/>
  <c r="F32" i="1"/>
  <c r="G4" i="1"/>
  <c r="G5" i="1"/>
  <c r="O5" i="1" s="1"/>
  <c r="H5" i="1"/>
  <c r="I5" i="1"/>
  <c r="G6" i="1"/>
  <c r="H6" i="1"/>
  <c r="I6" i="1"/>
  <c r="G7" i="1"/>
  <c r="H7" i="1"/>
  <c r="I7" i="1"/>
  <c r="I4" i="1"/>
  <c r="H4" i="1"/>
  <c r="O4" i="1"/>
  <c r="K7" i="1" l="1"/>
  <c r="N7" i="1" s="1"/>
  <c r="K6" i="1"/>
  <c r="N6" i="1" s="1"/>
  <c r="O7" i="1"/>
  <c r="O6" i="1"/>
  <c r="J7" i="1"/>
  <c r="M7" i="1" s="1"/>
  <c r="J6" i="1"/>
  <c r="M6" i="1" s="1"/>
  <c r="K5" i="1"/>
  <c r="N5" i="1" s="1"/>
  <c r="J5" i="1"/>
  <c r="M5" i="1" s="1"/>
  <c r="J4" i="1"/>
  <c r="M4" i="1" s="1"/>
  <c r="K4" i="1"/>
  <c r="N4" i="1" s="1"/>
</calcChain>
</file>

<file path=xl/sharedStrings.xml><?xml version="1.0" encoding="utf-8"?>
<sst xmlns="http://schemas.openxmlformats.org/spreadsheetml/2006/main" count="47" uniqueCount="37">
  <si>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</si>
  <si>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</si>
  <si>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</si>
  <si>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</si>
  <si>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</si>
  <si>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</si>
  <si>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</si>
  <si>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</si>
  <si>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</si>
  <si>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</si>
  <si>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</si>
  <si>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10 cm cell in 90% acetone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</si>
  <si>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</si>
  <si>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</si>
  <si>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</si>
  <si>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</si>
  <si>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</si>
  <si>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</si>
  <si>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Baseline corrected and corrected to 1 cm pathlength</t>
  </si>
  <si>
    <t>Stock solution conc (ug/l)</t>
  </si>
  <si>
    <t>Intermediate</t>
  </si>
  <si>
    <t>CS5</t>
  </si>
  <si>
    <t>Spike</t>
  </si>
  <si>
    <t>Final Concentration</t>
  </si>
  <si>
    <t>100 ug/L</t>
  </si>
  <si>
    <t>CS4</t>
  </si>
  <si>
    <t>Volume 90% (mL)</t>
  </si>
  <si>
    <t>50 ug/L</t>
  </si>
  <si>
    <t>Final Volume (mL)</t>
  </si>
  <si>
    <t>Spiking solution to add (mL)</t>
  </si>
  <si>
    <t>CS3</t>
  </si>
  <si>
    <t>10 ug/L</t>
  </si>
  <si>
    <t>20 ug/L</t>
  </si>
  <si>
    <t>CS2</t>
  </si>
  <si>
    <t>CS1</t>
  </si>
  <si>
    <t>5 ug/L</t>
  </si>
  <si>
    <t>Volume after prep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</si>
</sst>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6"/>
  <sheetViews>
    <sheetView tabSelected="1" topLeftCell="A4" zoomScale="90" workbookViewId="0">
      <selection activeCell="B36" sqref="B36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17.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1" t="s">
        <v>11</v>
      </c>
      <c r="C1" s="11"/>
      <c r="D1" s="11"/>
      <c r="E1" s="11"/>
      <c r="G1" s="12" t="s">
        <v>18</v>
      </c>
      <c r="H1" s="12"/>
      <c r="I1" s="12"/>
      <c r="J1" s="7" t="s">
        <v>16</v>
      </c>
      <c r="K1" s="6" t="s">
        <v>13</v>
      </c>
      <c r="M1" s="7" t="s">
        <v>16</v>
      </c>
      <c r="N1" s="8" t="s">
        <v>13</v>
      </c>
      <c r="O1" s="3" t="s">
        <v>10</v>
      </c>
      <c r="P1" s="7" t="s">
        <v>16</v>
      </c>
      <c r="Q1" s="8" t="s">
        <v>13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14</v>
      </c>
      <c r="K2" s="11"/>
      <c r="M2" s="11" t="s">
        <v>15</v>
      </c>
      <c r="N2" s="11"/>
      <c r="O2" s="11"/>
      <c r="P2" s="11" t="s">
        <v>17</v>
      </c>
      <c r="Q2" s="11"/>
      <c r="R2" s="11"/>
    </row>
    <row r="3" spans="1:18" x14ac:dyDescent="0.2">
      <c r="J3" s="4"/>
      <c r="K3" s="6"/>
    </row>
    <row r="4" spans="1:18" x14ac:dyDescent="0.2">
      <c r="B4" s="3">
        <v>-1.5E-3</v>
      </c>
      <c r="C4" s="3">
        <v>-1.6000000000000001E-3</v>
      </c>
      <c r="D4" s="3">
        <v>-1.5E-3</v>
      </c>
      <c r="E4" s="3">
        <v>-1.5E-3</v>
      </c>
      <c r="G4" s="2">
        <f>(C4-$B4)/10</f>
        <v>-1.0000000000000004E-5</v>
      </c>
      <c r="H4" s="2">
        <f t="shared" ref="H4:H8" si="0">(D4-$B4)/10</f>
        <v>0</v>
      </c>
      <c r="I4" s="2">
        <f t="shared" ref="I4:I8" si="1">(E4-$B4)/10</f>
        <v>0</v>
      </c>
      <c r="J4" s="1">
        <f t="shared" ref="J4:J8" si="2">(11.85*((ABS(G4)))-(1.54*(ABS(H4))-(0.08*(ABS(I4)))))</f>
        <v>1.1850000000000005E-4</v>
      </c>
      <c r="K4" s="1">
        <f>((12.18*G4)-(2.64*H4))</f>
        <v>-1.2180000000000005E-4</v>
      </c>
      <c r="M4" s="9">
        <f>J4*1000</f>
        <v>0.11850000000000005</v>
      </c>
      <c r="N4" s="9">
        <f>K4*1000</f>
        <v>-0.12180000000000005</v>
      </c>
      <c r="O4" s="9">
        <f>(G4/(87.67))*1000*1000</f>
        <v>-0.11406410402646291</v>
      </c>
    </row>
    <row r="5" spans="1:18" x14ac:dyDescent="0.2">
      <c r="A5">
        <v>1</v>
      </c>
      <c r="B5" s="3">
        <v>1.4800000000000001E-2</v>
      </c>
      <c r="C5" s="3">
        <v>0.27589999999999998</v>
      </c>
      <c r="D5" s="3">
        <v>0.1163</v>
      </c>
      <c r="E5" s="3">
        <v>5.13E-3</v>
      </c>
      <c r="G5" s="2">
        <f t="shared" ref="G5:G8" si="3">(C5-$B5)/10</f>
        <v>2.6110000000000001E-2</v>
      </c>
      <c r="H5" s="2">
        <f t="shared" si="0"/>
        <v>1.0150000000000001E-2</v>
      </c>
      <c r="I5" s="2">
        <f t="shared" si="1"/>
        <v>-9.6700000000000019E-4</v>
      </c>
      <c r="J5" s="1">
        <f t="shared" si="2"/>
        <v>0.29384986000000002</v>
      </c>
      <c r="K5" s="1">
        <f t="shared" ref="K5:K8" si="4">((12.18*G5)-(2.64*H5))</f>
        <v>0.29122380000000003</v>
      </c>
      <c r="M5" s="9">
        <f t="shared" ref="M5:M8" si="5">J5*1000</f>
        <v>293.84986000000004</v>
      </c>
      <c r="N5" s="9">
        <f t="shared" ref="N5:N8" si="6">K5*1000</f>
        <v>291.22380000000004</v>
      </c>
      <c r="O5" s="9">
        <f t="shared" ref="O5:O8" si="7">(G5/(87.67))*1000*1000</f>
        <v>297.82137561309457</v>
      </c>
    </row>
    <row r="6" spans="1:18" x14ac:dyDescent="0.2">
      <c r="A6">
        <v>2</v>
      </c>
      <c r="B6" s="3">
        <v>1.49E-2</v>
      </c>
      <c r="C6" s="3">
        <v>0.27589999999999998</v>
      </c>
      <c r="D6" s="3">
        <v>0.11650000000000001</v>
      </c>
      <c r="E6" s="3">
        <v>5.1500000000000001E-3</v>
      </c>
      <c r="G6" s="2">
        <f t="shared" si="3"/>
        <v>2.6099999999999995E-2</v>
      </c>
      <c r="H6" s="2">
        <f t="shared" si="0"/>
        <v>1.0160000000000001E-2</v>
      </c>
      <c r="I6" s="2">
        <f t="shared" si="1"/>
        <v>-9.7499999999999996E-4</v>
      </c>
      <c r="J6" s="1">
        <f t="shared" si="2"/>
        <v>0.29371659999999994</v>
      </c>
      <c r="K6" s="1">
        <f t="shared" si="4"/>
        <v>0.29107559999999988</v>
      </c>
      <c r="M6" s="9">
        <f t="shared" si="5"/>
        <v>293.71659999999991</v>
      </c>
      <c r="N6" s="9">
        <f t="shared" si="6"/>
        <v>291.07559999999989</v>
      </c>
      <c r="O6" s="9">
        <f t="shared" si="7"/>
        <v>297.70731150906806</v>
      </c>
    </row>
    <row r="7" spans="1:18" x14ac:dyDescent="0.2">
      <c r="A7">
        <v>3</v>
      </c>
      <c r="B7" s="3">
        <v>1.5299999999999999E-2</v>
      </c>
      <c r="C7" s="3">
        <v>0.2762</v>
      </c>
      <c r="D7" s="3">
        <v>0.1168</v>
      </c>
      <c r="E7" s="3">
        <v>5.1900000000000002E-3</v>
      </c>
      <c r="G7" s="2">
        <f t="shared" si="3"/>
        <v>2.6090000000000002E-2</v>
      </c>
      <c r="H7" s="2">
        <f t="shared" si="0"/>
        <v>1.0150000000000001E-2</v>
      </c>
      <c r="I7" s="2">
        <f t="shared" si="1"/>
        <v>-1.011E-3</v>
      </c>
      <c r="J7" s="1">
        <f t="shared" si="2"/>
        <v>0.29361638000000001</v>
      </c>
      <c r="K7" s="1">
        <f t="shared" si="4"/>
        <v>0.29098020000000002</v>
      </c>
      <c r="M7" s="9">
        <f t="shared" si="5"/>
        <v>293.61637999999999</v>
      </c>
      <c r="N7" s="9">
        <f t="shared" si="6"/>
        <v>290.98020000000002</v>
      </c>
      <c r="O7" s="9">
        <f t="shared" si="7"/>
        <v>297.59324740504161</v>
      </c>
    </row>
    <row r="8" spans="1:18" x14ac:dyDescent="0.2">
      <c r="B8" s="3">
        <v>1.8200000000000001E-2</v>
      </c>
      <c r="C8" s="3">
        <v>1.4547000000000001</v>
      </c>
      <c r="D8" s="3">
        <v>0.64839999999999998</v>
      </c>
      <c r="E8" s="3">
        <v>0.30249999999999999</v>
      </c>
      <c r="G8" s="2">
        <f t="shared" si="3"/>
        <v>0.14365</v>
      </c>
      <c r="H8" s="2">
        <f t="shared" si="0"/>
        <v>6.3019999999999993E-2</v>
      </c>
      <c r="I8" s="2">
        <f t="shared" si="1"/>
        <v>2.843E-2</v>
      </c>
      <c r="J8" s="1">
        <f t="shared" si="2"/>
        <v>1.6074761</v>
      </c>
      <c r="K8" s="1">
        <f t="shared" si="4"/>
        <v>1.5832842</v>
      </c>
      <c r="M8" s="9">
        <f t="shared" si="5"/>
        <v>1607.4760999999999</v>
      </c>
      <c r="N8" s="9">
        <f t="shared" si="6"/>
        <v>1583.2842000000001</v>
      </c>
      <c r="O8" s="9">
        <f t="shared" si="7"/>
        <v>1638.5308543401391</v>
      </c>
    </row>
    <row r="9" spans="1:18" x14ac:dyDescent="0.2"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12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19</v>
      </c>
    </row>
    <row r="30" spans="1:18" x14ac:dyDescent="0.2">
      <c r="A30" t="s">
        <v>20</v>
      </c>
      <c r="B30" s="3">
        <v>297.7</v>
      </c>
    </row>
    <row r="31" spans="1:18" x14ac:dyDescent="0.2">
      <c r="B31" s="3" t="s">
        <v>29</v>
      </c>
      <c r="C31" s="3" t="s">
        <v>22</v>
      </c>
      <c r="D31" s="3" t="s">
        <v>23</v>
      </c>
      <c r="E31" s="3" t="s">
        <v>26</v>
      </c>
      <c r="F31" s="3" t="s">
        <v>28</v>
      </c>
      <c r="G31" s="3" t="s">
        <v>36</v>
      </c>
    </row>
    <row r="32" spans="1:18" x14ac:dyDescent="0.2">
      <c r="A32" t="s">
        <v>21</v>
      </c>
      <c r="B32" s="3">
        <f>(20*100)/297.7</f>
        <v>6.7181726570372859</v>
      </c>
      <c r="C32" s="3" t="s">
        <v>20</v>
      </c>
      <c r="D32" s="3" t="s">
        <v>24</v>
      </c>
      <c r="E32" s="3">
        <v>13.282</v>
      </c>
      <c r="F32">
        <f>B32+E32</f>
        <v>20.000172657037286</v>
      </c>
      <c r="G32">
        <v>10</v>
      </c>
    </row>
    <row r="33" spans="1:7" x14ac:dyDescent="0.2">
      <c r="A33" t="s">
        <v>25</v>
      </c>
      <c r="B33" s="3">
        <f>(20*50)/100</f>
        <v>10</v>
      </c>
      <c r="C33" s="3" t="s">
        <v>21</v>
      </c>
      <c r="D33" s="3" t="s">
        <v>27</v>
      </c>
      <c r="E33" s="3">
        <v>10</v>
      </c>
      <c r="F33">
        <f>B33+E33</f>
        <v>20</v>
      </c>
      <c r="G33">
        <v>12</v>
      </c>
    </row>
    <row r="34" spans="1:7" x14ac:dyDescent="0.2">
      <c r="A34" t="s">
        <v>30</v>
      </c>
      <c r="B34" s="3">
        <f>(20*20)/50</f>
        <v>8</v>
      </c>
      <c r="C34" s="3" t="s">
        <v>25</v>
      </c>
      <c r="D34" s="3" t="s">
        <v>32</v>
      </c>
      <c r="E34" s="3">
        <v>12</v>
      </c>
      <c r="F34">
        <v>20</v>
      </c>
      <c r="G34">
        <v>10</v>
      </c>
    </row>
    <row r="35" spans="1:7" x14ac:dyDescent="0.2">
      <c r="A35" t="s">
        <v>33</v>
      </c>
      <c r="B35" s="3">
        <f>(20*10)/20</f>
        <v>10</v>
      </c>
      <c r="C35" s="3" t="s">
        <v>30</v>
      </c>
      <c r="D35" s="3" t="s">
        <v>31</v>
      </c>
      <c r="E35" s="3">
        <v>10</v>
      </c>
      <c r="F35">
        <v>20</v>
      </c>
      <c r="G35">
        <v>10</v>
      </c>
    </row>
    <row r="36" spans="1:7" x14ac:dyDescent="0.2">
      <c r="A36" t="s">
        <v>34</v>
      </c>
      <c r="B36" s="3">
        <f>(20*5)/10</f>
        <v>10</v>
      </c>
      <c r="C36" s="3" t="s">
        <v>33</v>
      </c>
      <c r="D36" s="3" t="s">
        <v>35</v>
      </c>
      <c r="E36" s="3">
        <v>10</v>
      </c>
      <c r="F36">
        <v>20</v>
      </c>
      <c r="G36"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2025-03-31T16:46:25Z</dcterms:modified>
</cp:coreProperties>
</file>